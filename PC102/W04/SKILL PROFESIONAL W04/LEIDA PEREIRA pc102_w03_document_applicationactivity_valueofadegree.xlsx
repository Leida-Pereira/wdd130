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Q09ttsux0mmQ/LY+YylcVMwSiHOlmc+P+m0qGsbk+yJvk4ERtNhZQ2LPuwcC5vUyVlD0DX4jtIlBlslbq6zN4Q==" workbookSaltValue="nS2tKr76O2aRQjvb44Jxvg==" workbookSpinCount="100000" lockStructure="1"/>
  <bookViews>
    <workbookView windowWidth="27945" windowHeight="12300"/>
  </bookViews>
  <sheets>
    <sheet name="Student Template" sheetId="1" r:id="rId1"/>
    <sheet name="Variables- Admin Use Only" sheetId="2" state="hidden" r:id="rId2"/>
  </sheets>
  <definedNames>
    <definedName name="Name">'Student Template'!$D$2</definedName>
    <definedName name="Salary1">'Variables- Admin Use Only'!$B$12</definedName>
    <definedName name="Salary2">'Variables- Admin Use Only'!$B$13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Jodie Elizabeth Kehaulani Brems</author>
  </authors>
  <commentList>
    <comment ref="B12" authorId="0">
      <text>
        <r>
          <rPr>
            <b/>
            <sz val="10"/>
            <color rgb="FF000000"/>
            <rFont val="Tahoma"/>
            <charset val="134"/>
          </rPr>
          <t>Jodie Elizabeth Kehaulani Brems:</t>
        </r>
        <r>
          <rPr>
            <sz val="10"/>
            <color rgb="FF000000"/>
            <rFont val="Tahoma"/>
            <charset val="134"/>
          </rPr>
          <t xml:space="preserve">
160 is the average number of hours worked in a month</t>
        </r>
      </text>
    </comment>
  </commentList>
</comments>
</file>

<file path=xl/sharedStrings.xml><?xml version="1.0" encoding="utf-8"?>
<sst xmlns="http://schemas.openxmlformats.org/spreadsheetml/2006/main" count="120" uniqueCount="98">
  <si>
    <t>Value of a Degree</t>
  </si>
  <si>
    <t xml:space="preserve">Part 1: Type Your Name Here: </t>
  </si>
  <si>
    <t>Leida Pereira</t>
  </si>
  <si>
    <t>Part 2: Table</t>
  </si>
  <si>
    <t>Part 3: Chart Area</t>
  </si>
  <si>
    <t>Part 4: Application Questions</t>
  </si>
  <si>
    <t>Use the area in yellow to create the table</t>
  </si>
  <si>
    <t>Check Your Work: Table</t>
  </si>
  <si>
    <t>Place your chart here.</t>
  </si>
  <si>
    <t xml:space="preserve">1.  Which line crosses the following points: </t>
  </si>
  <si>
    <t>✓</t>
  </si>
  <si>
    <t>For instructions, see your Canvas course at W03 Value of a Degree.</t>
  </si>
  <si>
    <t>a.</t>
  </si>
  <si>
    <t>Cindy's Future Salary</t>
  </si>
  <si>
    <t xml:space="preserve">Year </t>
  </si>
  <si>
    <t>Cindy´s Current Salary</t>
  </si>
  <si>
    <t>Cindy´s Future Salary</t>
  </si>
  <si>
    <t>Years</t>
  </si>
  <si>
    <t>✓ Current</t>
  </si>
  <si>
    <t>✓ Future</t>
  </si>
  <si>
    <t>Cindy's CURRENT Monthly Earnings:</t>
  </si>
  <si>
    <t xml:space="preserve">b. </t>
  </si>
  <si>
    <t>Cindy's Current Salary</t>
  </si>
  <si>
    <t>Cindy's FUTURE Monthly Earnings:</t>
  </si>
  <si>
    <t>2.  Which line has a greater slope?</t>
  </si>
  <si>
    <t>3.  Name 1 thing from the data that could help Cindy stay motivated in her studies.  Explain why.</t>
  </si>
  <si>
    <t>"After 25 years, the chart indicates that with her 'Future Salary' (gray line), Cindy would earn more than $600,000, while with her 'Current Salary' (orange line), she would only reach approximately $320,000. Seeing that finishing her studies could practically double her income over time is a powerful incentive, as it provides greater financial stability and rewards the effort she is making now."</t>
  </si>
  <si>
    <t xml:space="preserve">✓ Feedback Key: 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</si>
  <si>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</si>
  <si>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</si>
  <si>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</si>
  <si>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Correct Cell Referencing</t>
    </r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</si>
  <si>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</si>
  <si>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u/>
        <sz val="12"/>
        <color theme="1"/>
        <rFont val="Calibri (Body)"/>
        <charset val="134"/>
      </rPr>
      <t>R</t>
    </r>
    <r>
      <rPr>
        <sz val="12"/>
        <color theme="1"/>
        <rFont val="Calibri"/>
        <charset val="134"/>
        <scheme val="minor"/>
      </rPr>
      <t xml:space="preserve">eferencing, Answer Correct </t>
    </r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</si>
  <si>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</si>
  <si>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>ot Correct - Check Answer and Cell Referencing</t>
    </r>
  </si>
  <si>
    <t>Variables Sheet</t>
  </si>
  <si>
    <t>Part 1</t>
  </si>
  <si>
    <t>Part 2</t>
  </si>
  <si>
    <t>Name</t>
  </si>
  <si>
    <t>Correct Answers</t>
  </si>
  <si>
    <t>Student Response - Current</t>
  </si>
  <si>
    <t>Student Response - Future</t>
  </si>
  <si>
    <t>Current Salary</t>
  </si>
  <si>
    <t>Future Salary</t>
  </si>
  <si>
    <t>Student Answer</t>
  </si>
  <si>
    <t>Feedback</t>
  </si>
  <si>
    <t>Cell Referencing</t>
  </si>
  <si>
    <t>Overall Feedback</t>
  </si>
  <si>
    <t>Student Response</t>
  </si>
  <si>
    <t>Variable</t>
  </si>
  <si>
    <t>Value</t>
  </si>
  <si>
    <t>Correct</t>
  </si>
  <si>
    <t>1st Letter</t>
  </si>
  <si>
    <t>Answer</t>
  </si>
  <si>
    <t>2nd Letter</t>
  </si>
  <si>
    <t>Cell Reference</t>
  </si>
  <si>
    <t>3rd Letter</t>
  </si>
  <si>
    <t>Not Correct</t>
  </si>
  <si>
    <t>1st Salary</t>
  </si>
  <si>
    <t>2nd Salary</t>
  </si>
  <si>
    <t>Part 4</t>
  </si>
  <si>
    <t>Question 1</t>
  </si>
  <si>
    <t>Question 2</t>
  </si>
  <si>
    <t>Letter</t>
  </si>
  <si>
    <t>Correct Line</t>
  </si>
  <si>
    <t>X Value</t>
  </si>
  <si>
    <t>Y Value</t>
  </si>
  <si>
    <t>x-value</t>
  </si>
  <si>
    <t>y-value</t>
  </si>
  <si>
    <t>Q1</t>
  </si>
  <si>
    <t>B</t>
  </si>
  <si>
    <t xml:space="preserve">Q2 </t>
  </si>
  <si>
    <t>D</t>
  </si>
  <si>
    <t>Answer Options</t>
  </si>
  <si>
    <t>E</t>
  </si>
  <si>
    <t>F</t>
  </si>
  <si>
    <t>G</t>
  </si>
  <si>
    <t>H</t>
  </si>
  <si>
    <t>I</t>
  </si>
  <si>
    <t>Grading Feedback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</si>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</sst>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&quot;$&quot;#,##0.00"/>
  </numFmts>
  <fonts count="35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theme="1"/>
      <name val="Calibri (Body)"/>
      <charset val="134"/>
    </font>
    <font>
      <sz val="12"/>
      <name val="Calibri (Body)"/>
      <charset val="134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 (Body)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2" fillId="13" borderId="2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32" applyNumberFormat="0" applyAlignment="0" applyProtection="0">
      <alignment vertical="center"/>
    </xf>
    <xf numFmtId="0" fontId="22" fillId="15" borderId="33" applyNumberFormat="0" applyAlignment="0" applyProtection="0">
      <alignment vertical="center"/>
    </xf>
    <xf numFmtId="0" fontId="23" fillId="15" borderId="32" applyNumberFormat="0" applyAlignment="0" applyProtection="0">
      <alignment vertical="center"/>
    </xf>
    <xf numFmtId="0" fontId="24" fillId="16" borderId="3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0" xfId="0" applyBorder="1"/>
    <xf numFmtId="44" fontId="0" fillId="0" borderId="1" xfId="2" applyFont="1" applyBorder="1"/>
    <xf numFmtId="44" fontId="0" fillId="0" borderId="11" xfId="2" applyFont="1" applyBorder="1"/>
    <xf numFmtId="44" fontId="0" fillId="0" borderId="12" xfId="2" applyFont="1" applyBorder="1"/>
    <xf numFmtId="0" fontId="0" fillId="0" borderId="1" xfId="0" applyBorder="1"/>
    <xf numFmtId="0" fontId="0" fillId="0" borderId="13" xfId="0" applyBorder="1"/>
    <xf numFmtId="44" fontId="0" fillId="0" borderId="14" xfId="2" applyFont="1" applyBorder="1"/>
    <xf numFmtId="44" fontId="0" fillId="0" borderId="15" xfId="2" applyFont="1" applyBorder="1"/>
    <xf numFmtId="44" fontId="0" fillId="0" borderId="16" xfId="2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2" xfId="0" applyFont="1" applyBorder="1"/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9" xfId="0" applyBorder="1"/>
    <xf numFmtId="178" fontId="0" fillId="0" borderId="20" xfId="0" applyNumberFormat="1" applyBorder="1"/>
    <xf numFmtId="178" fontId="0" fillId="0" borderId="0" xfId="0" applyNumberFormat="1"/>
    <xf numFmtId="2" fontId="0" fillId="0" borderId="1" xfId="0" applyNumberFormat="1" applyBorder="1"/>
    <xf numFmtId="44" fontId="0" fillId="0" borderId="0" xfId="2" applyFont="1"/>
    <xf numFmtId="178" fontId="0" fillId="0" borderId="19" xfId="0" applyNumberFormat="1" applyBorder="1"/>
    <xf numFmtId="0" fontId="0" fillId="0" borderId="7" xfId="0" applyBorder="1"/>
    <xf numFmtId="178" fontId="0" fillId="0" borderId="7" xfId="0" applyNumberFormat="1" applyBorder="1"/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0" xfId="2" applyFont="1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44" fontId="0" fillId="0" borderId="13" xfId="2" applyFont="1" applyBorder="1"/>
    <xf numFmtId="0" fontId="0" fillId="0" borderId="15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2" applyNumberFormat="1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5" borderId="20" xfId="0" applyFont="1" applyFill="1" applyBorder="1" applyAlignment="1">
      <alignment vertical="center"/>
    </xf>
    <xf numFmtId="0" fontId="0" fillId="6" borderId="1" xfId="6" applyFont="1" applyFill="1" applyBorder="1" applyAlignment="1" applyProtection="1">
      <alignment vertical="center" wrapText="1"/>
      <protection locked="0"/>
    </xf>
    <xf numFmtId="0" fontId="0" fillId="5" borderId="0" xfId="0" applyFill="1"/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5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9" fontId="6" fillId="0" borderId="0" xfId="2" applyNumberFormat="1" applyFont="1" applyFill="1" applyBorder="1" applyAlignment="1"/>
    <xf numFmtId="44" fontId="0" fillId="0" borderId="0" xfId="2" applyFont="1" applyBorder="1"/>
    <xf numFmtId="0" fontId="0" fillId="6" borderId="19" xfId="0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right" wrapText="1"/>
    </xf>
    <xf numFmtId="179" fontId="7" fillId="7" borderId="1" xfId="2" applyNumberFormat="1" applyFont="1" applyFill="1" applyBorder="1" applyAlignment="1" applyProtection="1"/>
    <xf numFmtId="0" fontId="0" fillId="6" borderId="1" xfId="0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179" fontId="7" fillId="0" borderId="0" xfId="2" applyNumberFormat="1" applyFont="1" applyFill="1" applyBorder="1" applyAlignment="1"/>
    <xf numFmtId="179" fontId="7" fillId="7" borderId="1" xfId="2" applyNumberFormat="1" applyFont="1" applyFill="1" applyBorder="1" applyAlignment="1"/>
    <xf numFmtId="0" fontId="8" fillId="0" borderId="0" xfId="0" applyFont="1"/>
    <xf numFmtId="0" fontId="0" fillId="7" borderId="1" xfId="0" applyFill="1" applyBorder="1" applyAlignment="1">
      <alignment horizontal="center" wrapText="1"/>
    </xf>
    <xf numFmtId="0" fontId="0" fillId="6" borderId="0" xfId="0" applyFill="1" applyProtection="1">
      <protection locked="0"/>
    </xf>
    <xf numFmtId="0" fontId="0" fillId="6" borderId="19" xfId="0" applyFill="1" applyBorder="1" applyAlignment="1" applyProtection="1">
      <alignment vertical="center" wrapText="1"/>
      <protection locked="0"/>
    </xf>
    <xf numFmtId="0" fontId="0" fillId="6" borderId="7" xfId="0" applyFill="1" applyBorder="1" applyAlignment="1" applyProtection="1">
      <alignment vertical="center" wrapText="1"/>
      <protection locked="0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6" borderId="1" xfId="0" applyFill="1" applyBorder="1" applyProtection="1">
      <protection locked="0"/>
    </xf>
    <xf numFmtId="4" fontId="0" fillId="6" borderId="1" xfId="2" applyNumberFormat="1" applyFont="1" applyFill="1" applyBorder="1" applyProtection="1">
      <protection locked="0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5" borderId="0" xfId="0" applyFont="1" applyFill="1" applyAlignment="1">
      <alignment vertical="center"/>
    </xf>
    <xf numFmtId="0" fontId="11" fillId="12" borderId="0" xfId="0" applyFont="1" applyFill="1" applyAlignment="1">
      <alignment wrapText="1"/>
    </xf>
    <xf numFmtId="0" fontId="0" fillId="12" borderId="0" xfId="0" applyFill="1"/>
    <xf numFmtId="0" fontId="0" fillId="12" borderId="0" xfId="0" applyFill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6" borderId="24" xfId="0" applyFill="1" applyBorder="1" applyAlignment="1" applyProtection="1">
      <alignment horizontal="left" vertical="top" wrapText="1"/>
      <protection locked="0"/>
    </xf>
    <xf numFmtId="0" fontId="0" fillId="6" borderId="25" xfId="0" applyFill="1" applyBorder="1" applyAlignment="1" applyProtection="1">
      <alignment horizontal="left" vertical="top" wrapText="1"/>
      <protection locked="0"/>
    </xf>
    <xf numFmtId="0" fontId="0" fillId="6" borderId="26" xfId="0" applyFill="1" applyBorder="1" applyAlignment="1" applyProtection="1">
      <alignment horizontal="left" vertical="top" wrapText="1"/>
      <protection locked="0"/>
    </xf>
    <xf numFmtId="0" fontId="0" fillId="6" borderId="27" xfId="0" applyFill="1" applyBorder="1" applyAlignment="1" applyProtection="1">
      <alignment horizontal="left" vertical="top" wrapText="1"/>
      <protection locked="0"/>
    </xf>
    <xf numFmtId="0" fontId="0" fillId="6" borderId="0" xfId="0" applyFill="1" applyAlignment="1" applyProtection="1">
      <alignment horizontal="left" vertical="top" wrapText="1"/>
      <protection locked="0"/>
    </xf>
    <xf numFmtId="0" fontId="0" fillId="6" borderId="20" xfId="0" applyFill="1" applyBorder="1" applyAlignment="1" applyProtection="1">
      <alignment horizontal="left" vertical="top" wrapText="1"/>
      <protection locked="0"/>
    </xf>
    <xf numFmtId="0" fontId="0" fillId="6" borderId="22" xfId="0" applyFill="1" applyBorder="1" applyAlignment="1" applyProtection="1">
      <alignment horizontal="left" vertical="top" wrapText="1"/>
      <protection locked="0"/>
    </xf>
    <xf numFmtId="0" fontId="0" fillId="6" borderId="28" xfId="0" applyFill="1" applyBorder="1" applyAlignment="1" applyProtection="1">
      <alignment horizontal="left" vertical="top" wrapText="1"/>
      <protection locked="0"/>
    </xf>
    <xf numFmtId="0" fontId="0" fillId="6" borderId="9" xfId="0" applyFill="1" applyBorder="1" applyAlignment="1" applyProtection="1">
      <alignment horizontal="left" vertical="top" wrapText="1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7"/>
        </patternFill>
      </fill>
    </dxf>
  </dxfs>
  <tableStyles count="0" defaultTableStyle="TableStyleMedium2" defaultPivotStyle="PivotStyleLight16"/>
  <colors>
    <mruColors>
      <color rgb="00FFF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Cindy´s Projected Earnings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900709219858"/>
          <c:y val="0.211267605633803"/>
          <c:w val="0.803999398586679"/>
          <c:h val="0.5637387964148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'Student Template'!$I$5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</c:numRef>
          </c:xVal>
          <c:yVal>
            <c:numRef>
              <c:f>'Student Template'!$I$6:$I$10</c:f>
            </c:numRef>
          </c:yVal>
          <c:smooth val="1"/>
        </c:ser>
        <c:ser>
          <c:idx val="1"/>
          <c:order val="1"/>
          <c:tx>
            <c:strRef>
              <c:f>'Student Template'!$J$5</c:f>
              <c:strCache>
                <c:ptCount val="1"/>
                <c:pt idx="0">
                  <c:v>Cindy´s Current Salary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Template'!$J$6:$J$10</c:f>
              <c:numCache>
                <c:formatCode>#,##0.00</c:formatCode>
                <c:ptCount val="5"/>
                <c:pt idx="0">
                  <c:v>63557.1197662021</c:v>
                </c:pt>
                <c:pt idx="1">
                  <c:v>127114.239532404</c:v>
                </c:pt>
                <c:pt idx="2">
                  <c:v>190671.359298606</c:v>
                </c:pt>
                <c:pt idx="3">
                  <c:v>254228.479064808</c:v>
                </c:pt>
                <c:pt idx="4">
                  <c:v>317785.598831011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'Student Template'!$K$5</c:f>
              <c:strCache>
                <c:ptCount val="1"/>
                <c:pt idx="0">
                  <c:v>Cindy´s Future Salary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Template'!$K$6:$K$10</c:f>
              <c:numCache>
                <c:formatCode>#,##0.00</c:formatCode>
                <c:ptCount val="5"/>
                <c:pt idx="0">
                  <c:v>122724.813068489</c:v>
                </c:pt>
                <c:pt idx="1">
                  <c:v>245449.626136978</c:v>
                </c:pt>
                <c:pt idx="2">
                  <c:v>368174.439205467</c:v>
                </c:pt>
                <c:pt idx="3">
                  <c:v>490899.252273956</c:v>
                </c:pt>
                <c:pt idx="4">
                  <c:v>613624.065342445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80882"/>
        <c:axId val="834159634"/>
      </c:scatterChart>
      <c:valAx>
        <c:axId val="7944808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Years</a:t>
                </a:r>
              </a:p>
            </c:rich>
          </c:tx>
          <c:layout>
            <c:manualLayout>
              <c:xMode val="edge"/>
              <c:yMode val="edge"/>
              <c:x val="0.481825939905915"/>
              <c:y val="0.8503648007503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159634"/>
        <c:crosses val="autoZero"/>
        <c:crossBetween val="midCat"/>
      </c:valAx>
      <c:valAx>
        <c:axId val="834159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Earned</a:t>
                </a:r>
              </a:p>
            </c:rich>
          </c:tx>
          <c:layout>
            <c:manualLayout>
              <c:xMode val="edge"/>
              <c:yMode val="edge"/>
              <c:x val="0.114857900161979"/>
              <c:y val="0.279445469480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4808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191577087321455"/>
          <c:y val="0.90127130105490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212725</xdr:colOff>
      <xdr:row>1</xdr:row>
      <xdr:rowOff>390525</xdr:rowOff>
    </xdr:from>
    <xdr:to>
      <xdr:col>22</xdr:col>
      <xdr:colOff>86360</xdr:colOff>
      <xdr:row>12</xdr:row>
      <xdr:rowOff>61595</xdr:rowOff>
    </xdr:to>
    <xdr:graphicFrame>
      <xdr:nvGraphicFramePr>
        <xdr:cNvPr id="2" name="Gráfico 1"/>
        <xdr:cNvGraphicFramePr/>
      </xdr:nvGraphicFramePr>
      <xdr:xfrm>
        <a:off x="14398625" y="628650"/>
        <a:ext cx="4305935" cy="238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6"/>
  <sheetViews>
    <sheetView tabSelected="1" topLeftCell="J1" workbookViewId="0">
      <selection activeCell="AA20" sqref="AA20"/>
    </sheetView>
  </sheetViews>
  <sheetFormatPr defaultColWidth="10.8333333333333" defaultRowHeight="15.75"/>
  <cols>
    <col min="1" max="1" width="13.5" customWidth="1"/>
    <col min="2" max="2" width="11.1666666666667" customWidth="1"/>
    <col min="3" max="3" width="30.6666666666667" customWidth="1"/>
    <col min="4" max="4" width="21.8333333333333" customWidth="1"/>
    <col min="5" max="5" width="3.16666666666667" customWidth="1"/>
    <col min="6" max="6" width="11.1666666666667" customWidth="1"/>
    <col min="7" max="7" width="3.16666666666667" customWidth="1"/>
    <col min="8" max="8" width="17.6666666666667" customWidth="1"/>
    <col min="9" max="9" width="10.8333333333333" hidden="1" customWidth="1"/>
    <col min="10" max="11" width="17.3333333333333" customWidth="1"/>
    <col min="12" max="13" width="3.16666666666667" customWidth="1"/>
    <col min="14" max="16" width="6.16666666666667" customWidth="1"/>
    <col min="17" max="17" width="3.16666666666667" customWidth="1"/>
    <col min="18" max="18" width="11.1666666666667" customWidth="1"/>
    <col min="19" max="19" width="3.16666666666667" customWidth="1"/>
    <col min="20" max="22" width="18.3333333333333" customWidth="1"/>
    <col min="23" max="23" width="3.16666666666667" customWidth="1"/>
    <col min="26" max="26" width="19.3333333333333" customWidth="1"/>
    <col min="27" max="27" width="21.1666666666667" customWidth="1"/>
    <col min="28" max="28" width="3.66666666666667" customWidth="1"/>
  </cols>
  <sheetData>
    <row r="1" ht="18.75" spans="1:1">
      <c r="A1" s="1" t="s">
        <v>0</v>
      </c>
    </row>
    <row r="2" ht="35" customHeight="1" spans="3:28">
      <c r="C2" s="58" t="s">
        <v>1</v>
      </c>
      <c r="D2" s="59" t="s">
        <v>2</v>
      </c>
      <c r="G2" s="60"/>
      <c r="H2" s="61" t="s">
        <v>3</v>
      </c>
      <c r="I2" s="61"/>
      <c r="J2" s="61"/>
      <c r="K2" s="60"/>
      <c r="L2" s="60"/>
      <c r="S2" s="60"/>
      <c r="T2" s="92" t="s">
        <v>4</v>
      </c>
      <c r="U2" s="60"/>
      <c r="V2" s="60"/>
      <c r="W2" s="60"/>
      <c r="Y2" s="96" t="s">
        <v>5</v>
      </c>
      <c r="Z2" s="96"/>
      <c r="AA2" s="96"/>
      <c r="AB2" s="96"/>
    </row>
    <row r="3" ht="16" customHeight="1" spans="3:28">
      <c r="C3" s="62"/>
      <c r="D3" s="63"/>
      <c r="G3" s="60"/>
      <c r="H3" s="64" t="s">
        <v>6</v>
      </c>
      <c r="I3" s="60"/>
      <c r="J3" s="60"/>
      <c r="K3" s="60"/>
      <c r="L3" s="60"/>
      <c r="N3" s="77" t="s">
        <v>7</v>
      </c>
      <c r="O3" s="77"/>
      <c r="P3" s="77"/>
      <c r="S3" s="60"/>
      <c r="T3" s="93" t="s">
        <v>8</v>
      </c>
      <c r="U3" s="93"/>
      <c r="V3" s="93"/>
      <c r="W3" s="60"/>
      <c r="Y3" t="s">
        <v>9</v>
      </c>
      <c r="AB3" s="86" t="s">
        <v>10</v>
      </c>
    </row>
    <row r="4" ht="17" customHeight="1" spans="1:28">
      <c r="A4" s="65" t="s">
        <v>11</v>
      </c>
      <c r="G4" s="60"/>
      <c r="H4" s="60"/>
      <c r="I4" s="60"/>
      <c r="J4" s="60"/>
      <c r="K4" s="60"/>
      <c r="L4" s="60"/>
      <c r="N4" s="77"/>
      <c r="O4" s="77"/>
      <c r="P4" s="77"/>
      <c r="S4" s="60"/>
      <c r="T4" s="94"/>
      <c r="U4" s="94"/>
      <c r="V4" s="94"/>
      <c r="W4" s="60"/>
      <c r="Y4" s="56" t="s">
        <v>12</v>
      </c>
      <c r="Z4" t="str">
        <f>IF(Name="","",_xlfn.CONCAT("(",'Variables- Admin Use Only'!O18," , ",'Variables- Admin Use Only'!P18,")"))</f>
        <v>(18,14 , $445214,0)</v>
      </c>
      <c r="AA4" s="84" t="s">
        <v>13</v>
      </c>
      <c r="AB4" s="88" t="str">
        <f>IF('Variables- Admin Use Only'!Q18="Empty Cell","",'Variables- Admin Use Only'!R18)</f>
        <v>C</v>
      </c>
    </row>
    <row r="5" ht="33" customHeight="1" spans="1:25">
      <c r="A5" s="65"/>
      <c r="C5" s="66"/>
      <c r="D5" s="67"/>
      <c r="F5" s="68"/>
      <c r="G5" s="60"/>
      <c r="H5" s="69" t="s">
        <v>14</v>
      </c>
      <c r="I5" s="78"/>
      <c r="J5" s="79" t="s">
        <v>15</v>
      </c>
      <c r="K5" s="80" t="s">
        <v>16</v>
      </c>
      <c r="L5" s="60"/>
      <c r="N5" s="81" t="s">
        <v>17</v>
      </c>
      <c r="O5" s="82" t="s">
        <v>18</v>
      </c>
      <c r="P5" s="83" t="s">
        <v>19</v>
      </c>
      <c r="S5" s="60"/>
      <c r="T5" s="95"/>
      <c r="U5" s="95"/>
      <c r="V5" s="95"/>
      <c r="W5" s="60"/>
      <c r="Y5" s="56"/>
    </row>
    <row r="6" ht="16" customHeight="1" spans="1:28">
      <c r="A6" s="65"/>
      <c r="C6" s="70" t="s">
        <v>20</v>
      </c>
      <c r="D6" s="71">
        <f>Salary1</f>
        <v>1059.2853294367</v>
      </c>
      <c r="F6" s="68"/>
      <c r="G6" s="60"/>
      <c r="H6" s="72">
        <v>5</v>
      </c>
      <c r="I6" s="84"/>
      <c r="J6" s="85">
        <f>PRODUCT(H6,12,$D$6)</f>
        <v>63557.1197662021</v>
      </c>
      <c r="K6" s="85">
        <f>PRODUCT(H6,12,$D$8)</f>
        <v>122724.813068489</v>
      </c>
      <c r="L6" s="60"/>
      <c r="N6" s="86">
        <v>5</v>
      </c>
      <c r="O6" s="87" t="str">
        <f>IF('Variables- Admin Use Only'!H7="Empty Cell","",'Variables- Admin Use Only'!K7)</f>
        <v>C</v>
      </c>
      <c r="P6" s="87" t="str">
        <f>IF('Variables- Admin Use Only'!L7="Empty Cell","",'Variables- Admin Use Only'!O7)</f>
        <v>C</v>
      </c>
      <c r="S6" s="60"/>
      <c r="T6" s="94"/>
      <c r="U6" s="94"/>
      <c r="V6" s="94"/>
      <c r="W6" s="60"/>
      <c r="Y6" s="56" t="s">
        <v>21</v>
      </c>
      <c r="Z6" t="str">
        <f>IF(Name="","",_xlfn.CONCAT("(",'Variables- Admin Use Only'!O19," , ",'Variables- Admin Use Only'!P19,")"))</f>
        <v>(8,78 , $111552,0)</v>
      </c>
      <c r="AA6" s="84" t="s">
        <v>22</v>
      </c>
      <c r="AB6" s="88" t="str">
        <f>IF('Variables- Admin Use Only'!Q19="Empty Cell","",'Variables- Admin Use Only'!R19)</f>
        <v>C</v>
      </c>
    </row>
    <row r="7" ht="16" customHeight="1" spans="1:23">
      <c r="A7" s="65"/>
      <c r="C7" s="73"/>
      <c r="D7" s="74"/>
      <c r="G7" s="60"/>
      <c r="H7" s="72">
        <v>10</v>
      </c>
      <c r="I7" s="84"/>
      <c r="J7" s="85">
        <f>PRODUCT(H7,12,$D$6)</f>
        <v>127114.239532404</v>
      </c>
      <c r="K7" s="85">
        <f>PRODUCT(H7,12,$D$8)</f>
        <v>245449.626136978</v>
      </c>
      <c r="L7" s="60"/>
      <c r="N7" s="86">
        <v>10</v>
      </c>
      <c r="O7" s="87" t="str">
        <f>IF('Variables- Admin Use Only'!H8="Empty Cell","",'Variables- Admin Use Only'!K8)</f>
        <v>C</v>
      </c>
      <c r="P7" s="87" t="str">
        <f>IF('Variables- Admin Use Only'!L8="Empty Cell","",'Variables- Admin Use Only'!O8)</f>
        <v>C</v>
      </c>
      <c r="S7" s="60"/>
      <c r="T7" s="94"/>
      <c r="U7" s="94"/>
      <c r="V7" s="94"/>
      <c r="W7" s="60"/>
    </row>
    <row r="8" ht="16" customHeight="1" spans="1:28">
      <c r="A8" s="65"/>
      <c r="C8" s="70" t="s">
        <v>23</v>
      </c>
      <c r="D8" s="75">
        <f>Salary2</f>
        <v>2045.41355114148</v>
      </c>
      <c r="G8" s="60"/>
      <c r="H8" s="72">
        <v>15</v>
      </c>
      <c r="I8" s="84"/>
      <c r="J8" s="85">
        <f>PRODUCT(H8,12,$D$6)</f>
        <v>190671.359298606</v>
      </c>
      <c r="K8" s="85">
        <f>PRODUCT(H8,12,$D$8)</f>
        <v>368174.439205467</v>
      </c>
      <c r="L8" s="60"/>
      <c r="N8" s="86">
        <v>15</v>
      </c>
      <c r="O8" s="87" t="str">
        <f>IF('Variables- Admin Use Only'!H9="Empty Cell","",'Variables- Admin Use Only'!K9)</f>
        <v>C</v>
      </c>
      <c r="P8" s="87" t="str">
        <f>IF('Variables- Admin Use Only'!L9="Empty Cell","",'Variables- Admin Use Only'!O9)</f>
        <v>C</v>
      </c>
      <c r="S8" s="60"/>
      <c r="T8" s="94"/>
      <c r="U8" s="94"/>
      <c r="V8" s="94"/>
      <c r="W8" s="60"/>
      <c r="Y8" t="s">
        <v>24</v>
      </c>
      <c r="AA8" s="84" t="s">
        <v>13</v>
      </c>
      <c r="AB8" s="88" t="str">
        <f>IF(ISBLANK(AA8),"",IF(AA8='Variables- Admin Use Only'!M29,"C","N"))</f>
        <v>C</v>
      </c>
    </row>
    <row r="9" ht="17" customHeight="1" spans="1:23">
      <c r="A9" s="65"/>
      <c r="G9" s="60"/>
      <c r="H9" s="72">
        <v>20</v>
      </c>
      <c r="I9" s="84"/>
      <c r="J9" s="85">
        <f>PRODUCT(H9,12,$D$6)</f>
        <v>254228.479064808</v>
      </c>
      <c r="K9" s="85">
        <f>PRODUCT(H9,12,$D$8)</f>
        <v>490899.252273956</v>
      </c>
      <c r="L9" s="60"/>
      <c r="N9" s="86">
        <v>20</v>
      </c>
      <c r="O9" s="87" t="str">
        <f>IF('Variables- Admin Use Only'!H10="Empty Cell","",'Variables- Admin Use Only'!K10)</f>
        <v>C</v>
      </c>
      <c r="P9" s="87" t="str">
        <f>IF('Variables- Admin Use Only'!L10="Empty Cell","",'Variables- Admin Use Only'!O10)</f>
        <v>C</v>
      </c>
      <c r="S9" s="60"/>
      <c r="T9" s="94"/>
      <c r="U9" s="94"/>
      <c r="V9" s="94"/>
      <c r="W9" s="60"/>
    </row>
    <row r="10" spans="1:25">
      <c r="A10" s="65"/>
      <c r="G10" s="60"/>
      <c r="H10" s="72">
        <v>25</v>
      </c>
      <c r="I10" s="78"/>
      <c r="J10" s="85">
        <f>PRODUCT(H10,12,$D$6)</f>
        <v>317785.598831011</v>
      </c>
      <c r="K10" s="85">
        <f>PRODUCT(H10,12,$D$8)</f>
        <v>613624.065342445</v>
      </c>
      <c r="L10" s="60"/>
      <c r="N10" s="86">
        <v>25</v>
      </c>
      <c r="O10" s="87" t="str">
        <f>IF('Variables- Admin Use Only'!H11="Empty Cell","",'Variables- Admin Use Only'!K11)</f>
        <v>C</v>
      </c>
      <c r="P10" s="87" t="str">
        <f>IF('Variables- Admin Use Only'!L11="Empty Cell","",'Variables- Admin Use Only'!O11)</f>
        <v>C</v>
      </c>
      <c r="S10" s="60"/>
      <c r="T10" s="94"/>
      <c r="U10" s="94"/>
      <c r="V10" s="94"/>
      <c r="W10" s="60"/>
      <c r="Y10" t="s">
        <v>25</v>
      </c>
    </row>
    <row r="11" spans="1:30">
      <c r="A11" s="65"/>
      <c r="G11" s="60"/>
      <c r="H11" s="60"/>
      <c r="I11" s="60"/>
      <c r="J11" s="60"/>
      <c r="K11" s="60"/>
      <c r="L11" s="60"/>
      <c r="S11" s="60"/>
      <c r="T11" s="94"/>
      <c r="U11" s="94"/>
      <c r="V11" s="94"/>
      <c r="W11" s="60"/>
      <c r="Y11" s="97" t="s">
        <v>26</v>
      </c>
      <c r="Z11" s="98"/>
      <c r="AA11" s="98"/>
      <c r="AB11" s="98"/>
      <c r="AC11" s="98"/>
      <c r="AD11" s="99"/>
    </row>
    <row r="12" ht="16" customHeight="1" spans="1:30">
      <c r="A12" s="65"/>
      <c r="S12" s="60"/>
      <c r="T12" s="94"/>
      <c r="U12" s="94"/>
      <c r="V12" s="94"/>
      <c r="W12" s="60"/>
      <c r="Y12" s="100"/>
      <c r="Z12" s="101"/>
      <c r="AA12" s="101"/>
      <c r="AB12" s="101"/>
      <c r="AC12" s="101"/>
      <c r="AD12" s="102"/>
    </row>
    <row r="13" spans="11:30">
      <c r="K13" s="88" t="s">
        <v>27</v>
      </c>
      <c r="L13" s="89" t="s">
        <v>28</v>
      </c>
      <c r="M13" t="s">
        <v>29</v>
      </c>
      <c r="S13" s="60"/>
      <c r="T13" s="60"/>
      <c r="U13" s="60"/>
      <c r="V13" s="60"/>
      <c r="W13" s="60"/>
      <c r="Y13" s="100"/>
      <c r="Z13" s="101"/>
      <c r="AA13" s="101"/>
      <c r="AB13" s="101"/>
      <c r="AC13" s="101"/>
      <c r="AD13" s="102"/>
    </row>
    <row r="14" spans="1:30">
      <c r="A14" s="76"/>
      <c r="L14" s="90" t="s">
        <v>30</v>
      </c>
      <c r="M14" t="s">
        <v>31</v>
      </c>
      <c r="Y14" s="103"/>
      <c r="Z14" s="104"/>
      <c r="AA14" s="104"/>
      <c r="AB14" s="104"/>
      <c r="AC14" s="104"/>
      <c r="AD14" s="105"/>
    </row>
    <row r="15" spans="12:13">
      <c r="L15" s="90" t="s">
        <v>32</v>
      </c>
      <c r="M15" t="s">
        <v>33</v>
      </c>
    </row>
    <row r="16" spans="12:13">
      <c r="L16" s="91" t="s">
        <v>34</v>
      </c>
      <c r="M16" t="s">
        <v>35</v>
      </c>
    </row>
  </sheetData>
  <sheetProtection algorithmName="SHA-512" hashValue="5ZZVbm+y07dmbQDn5AUsVVzOd72L4qHev2oTTxWhkTDMcUqidSgBvo0nrlgJJbIx1AOxqyUfyQ150LAFhcxVaA==" saltValue="h1Ru5zMdKafilvG9EBMncQ==" spinCount="100000" sheet="1" formatCells="0" formatColumns="0"/>
  <mergeCells count="6">
    <mergeCell ref="H2:J2"/>
    <mergeCell ref="Y2:AB2"/>
    <mergeCell ref="T3:V3"/>
    <mergeCell ref="A4:A12"/>
    <mergeCell ref="Y11:AD14"/>
    <mergeCell ref="N3:P4"/>
  </mergeCells>
  <conditionalFormatting sqref="AB4">
    <cfRule type="cellIs" dxfId="0" priority="26" operator="equal">
      <formula>"N"</formula>
    </cfRule>
    <cfRule type="cellIs" dxfId="1" priority="25" operator="equal">
      <formula>"C"</formula>
    </cfRule>
  </conditionalFormatting>
  <conditionalFormatting sqref="AB6">
    <cfRule type="cellIs" dxfId="1" priority="23" operator="equal">
      <formula>"C"</formula>
    </cfRule>
    <cfRule type="cellIs" dxfId="0" priority="24" operator="equal">
      <formula>"N"</formula>
    </cfRule>
  </conditionalFormatting>
  <conditionalFormatting sqref="AB8">
    <cfRule type="cellIs" dxfId="0" priority="22" operator="equal">
      <formula>"N"</formula>
    </cfRule>
    <cfRule type="cellIs" dxfId="1" priority="21" operator="equal">
      <formula>"C"</formula>
    </cfRule>
  </conditionalFormatting>
  <conditionalFormatting sqref="P6:P10">
    <cfRule type="cellIs" dxfId="2" priority="10" operator="equal">
      <formula>"CR"</formula>
    </cfRule>
    <cfRule type="cellIs" dxfId="3" priority="11" operator="equal">
      <formula>"A"</formula>
    </cfRule>
  </conditionalFormatting>
  <conditionalFormatting sqref="N6:O10">
    <cfRule type="cellIs" dxfId="4" priority="1" operator="equal">
      <formula>"CR"</formula>
    </cfRule>
    <cfRule type="cellIs" dxfId="2" priority="2" operator="equal">
      <formula>"A"</formula>
    </cfRule>
  </conditionalFormatting>
  <conditionalFormatting sqref="N6:P10">
    <cfRule type="cellIs" dxfId="0" priority="3" operator="equal">
      <formula>"N"</formula>
    </cfRule>
    <cfRule type="cellIs" dxfId="1" priority="4" operator="equal">
      <formula>"C"</formula>
    </cfRule>
  </conditionalFormatting>
  <dataValidations count="1">
    <dataValidation type="list" showInputMessage="1" showErrorMessage="1" sqref="AA4 AA6 AA8">
      <formula1>'Variables- Admin Use Only'!$M$22:$M$24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44"/>
  <sheetViews>
    <sheetView zoomScale="120" zoomScaleNormal="120" workbookViewId="0">
      <selection activeCell="Q19" sqref="Q19"/>
    </sheetView>
  </sheetViews>
  <sheetFormatPr defaultColWidth="10.8333333333333" defaultRowHeight="15.75"/>
  <cols>
    <col min="2" max="2" width="16.8333333333333" customWidth="1"/>
    <col min="5" max="5" width="12.8333333333333" customWidth="1"/>
    <col min="6" max="6" width="16" customWidth="1"/>
    <col min="7" max="7" width="14" customWidth="1"/>
    <col min="8" max="8" width="13.8333333333333" customWidth="1"/>
    <col min="9" max="9" width="10.8333333333333" customWidth="1"/>
    <col min="10" max="10" width="12.1666666666667" customWidth="1"/>
    <col min="11" max="11" width="11.6666666666667" customWidth="1"/>
    <col min="12" max="12" width="12.5" customWidth="1"/>
    <col min="13" max="13" width="10.6666666666667" customWidth="1"/>
    <col min="15" max="15" width="11.5" customWidth="1"/>
    <col min="17" max="17" width="11.5" customWidth="1"/>
    <col min="19" max="21" width="11.5" customWidth="1"/>
  </cols>
  <sheetData>
    <row r="1" ht="18.75" spans="1:1">
      <c r="A1" s="1" t="s">
        <v>36</v>
      </c>
    </row>
    <row r="3" spans="1:7">
      <c r="A3" s="2" t="s">
        <v>37</v>
      </c>
      <c r="B3" s="2"/>
      <c r="C3" s="2"/>
      <c r="E3" s="3" t="s">
        <v>38</v>
      </c>
      <c r="F3" s="3"/>
      <c r="G3" s="3"/>
    </row>
    <row r="4" ht="16.5"/>
    <row r="5" ht="16.5" spans="1:15">
      <c r="A5" s="4" t="s">
        <v>39</v>
      </c>
      <c r="B5" s="5" t="str">
        <f>IF(ISBLANK(Name),"Empty Cell",Name)</f>
        <v>Leida Pereira</v>
      </c>
      <c r="E5" s="6" t="s">
        <v>40</v>
      </c>
      <c r="F5" s="7"/>
      <c r="G5" s="8"/>
      <c r="H5" s="9" t="s">
        <v>41</v>
      </c>
      <c r="I5" s="9"/>
      <c r="J5" s="9"/>
      <c r="K5" s="38"/>
      <c r="L5" s="6" t="s">
        <v>42</v>
      </c>
      <c r="M5" s="7"/>
      <c r="N5" s="7"/>
      <c r="O5" s="8"/>
    </row>
    <row r="6" ht="33" customHeight="1" spans="1:15">
      <c r="A6" s="10"/>
      <c r="B6" s="10"/>
      <c r="E6" s="11" t="s">
        <v>14</v>
      </c>
      <c r="F6" s="12" t="s">
        <v>43</v>
      </c>
      <c r="G6" s="13" t="s">
        <v>44</v>
      </c>
      <c r="H6" s="14" t="s">
        <v>45</v>
      </c>
      <c r="I6" s="12" t="s">
        <v>46</v>
      </c>
      <c r="J6" s="12" t="s">
        <v>47</v>
      </c>
      <c r="K6" s="39" t="s">
        <v>48</v>
      </c>
      <c r="L6" s="11" t="s">
        <v>49</v>
      </c>
      <c r="M6" s="12" t="s">
        <v>46</v>
      </c>
      <c r="N6" s="12" t="s">
        <v>47</v>
      </c>
      <c r="O6" s="13" t="s">
        <v>48</v>
      </c>
    </row>
    <row r="7" spans="2:19">
      <c r="B7" s="15" t="s">
        <v>50</v>
      </c>
      <c r="C7" s="15" t="s">
        <v>51</v>
      </c>
      <c r="E7" s="16">
        <v>5</v>
      </c>
      <c r="F7" s="17">
        <f>ROUND((E7*Salary1*12),2)</f>
        <v>63557.12</v>
      </c>
      <c r="G7" s="18">
        <f>ROUND((E7*Salary2*12),2)</f>
        <v>122724.81</v>
      </c>
      <c r="H7" s="19">
        <f>IF(ISBLANK('Student Template'!J6)=TRUE,"Empty Cell",ROUND(('Student Template'!J6),2))</f>
        <v>63557.12</v>
      </c>
      <c r="I7" s="40" t="str">
        <f>IF(F7=H7,"C","N")</f>
        <v>C</v>
      </c>
      <c r="J7" s="40" t="str">
        <f>IFERROR(IF(OR((FIND("$D$6",_xlfn.FORMULATEXT('Student Template'!J6))&gt;0),(FIND("H6",_xlfn.FORMULATEXT('Student Template'!J6))&gt;0)),"C","N"),"N")</f>
        <v>C</v>
      </c>
      <c r="K7" s="41" t="str">
        <f>IF(AND(I7="N",J7="N"),"N",IF(AND(I7="C",J7="C"),"C",IF(I7="C","CR","A")))</f>
        <v>C</v>
      </c>
      <c r="L7" s="42">
        <f>IF(ISBLANK('Student Template'!K6)=TRUE,"Empty Cell",ROUND(('Student Template'!K6),2))</f>
        <v>122724.81</v>
      </c>
      <c r="M7" s="40" t="str">
        <f>IF(G7=L7,"C","N")</f>
        <v>C</v>
      </c>
      <c r="N7" s="40" t="str">
        <f>IFERROR(IF(OR((FIND("$D$8",_xlfn.FORMULATEXT('Student Template'!K6))&gt;0),(FIND("H6",_xlfn.FORMULATEXT('Student Template'!K6))&gt;0)),"C","N"),"N")</f>
        <v>C</v>
      </c>
      <c r="O7" s="43" t="str">
        <f>IF(AND(M7="N",N7="N"),"N",IF(AND(M7="C",N7="C"),"C",IF(M7="C","CR","A")))</f>
        <v>C</v>
      </c>
      <c r="R7" t="s">
        <v>28</v>
      </c>
      <c r="S7" t="s">
        <v>52</v>
      </c>
    </row>
    <row r="8" spans="1:19">
      <c r="A8" s="15" t="s">
        <v>53</v>
      </c>
      <c r="B8" s="20" t="str">
        <f>UPPER(MID($B$5,1,1))</f>
        <v>L</v>
      </c>
      <c r="C8" s="20">
        <f>IFERROR(VLOOKUP(B8,$A$18:$B$43,2,FALSE),$B$44)</f>
        <v>2.58386268880387</v>
      </c>
      <c r="E8" s="16">
        <v>10</v>
      </c>
      <c r="F8" s="17">
        <f>ROUND((E8*Salary1*12),2)</f>
        <v>127114.24</v>
      </c>
      <c r="G8" s="18">
        <f>ROUND((E8*Salary2*12),2)</f>
        <v>245449.63</v>
      </c>
      <c r="H8" s="19">
        <f>IF(ISBLANK('Student Template'!J7)=TRUE,"Empty Cell",ROUND(('Student Template'!J7),2))</f>
        <v>127114.24</v>
      </c>
      <c r="I8" s="40" t="str">
        <f t="shared" ref="I8:I11" si="0">IF(F8=H8,"C","N")</f>
        <v>C</v>
      </c>
      <c r="J8" s="40" t="str">
        <f>IFERROR(IF(OR((FIND("$D$6",_xlfn.FORMULATEXT('Student Template'!J7))&gt;0),(FIND("H7",_xlfn.FORMULATEXT('Student Template'!J7))&gt;0)),"C","N"),"N")</f>
        <v>C</v>
      </c>
      <c r="K8" s="41" t="str">
        <f t="shared" ref="K8:K11" si="1">IF(AND(I8="N",J8="N"),"N",IF(AND(I8="C",J8="C"),"C",IF(I8="C","CR","A")))</f>
        <v>C</v>
      </c>
      <c r="L8" s="42">
        <f>IF(ISBLANK('Student Template'!K7)=TRUE,"Empty Cell",ROUND(('Student Template'!K7),2))</f>
        <v>245449.63</v>
      </c>
      <c r="M8" s="40" t="str">
        <f>IF(G8=L8,"C","N")</f>
        <v>C</v>
      </c>
      <c r="N8" s="40" t="str">
        <f>IFERROR(IF(OR((FIND("$D$8",_xlfn.FORMULATEXT('Student Template'!K7))&gt;0),(FIND("H7",_xlfn.FORMULATEXT('Student Template'!K7))&gt;0)),"C","N"),"N")</f>
        <v>C</v>
      </c>
      <c r="O8" s="43" t="str">
        <f t="shared" ref="O8:O11" si="2">IF(AND(M8="N",N8="N"),"N",IF(AND(M8="C",N8="C"),"C",IF(M8="C","CR","A")))</f>
        <v>C</v>
      </c>
      <c r="R8" t="s">
        <v>30</v>
      </c>
      <c r="S8" t="s">
        <v>54</v>
      </c>
    </row>
    <row r="9" spans="1:19">
      <c r="A9" s="15" t="s">
        <v>55</v>
      </c>
      <c r="B9" s="20" t="str">
        <f>UPPER(MID($B$5,2,1))</f>
        <v>E</v>
      </c>
      <c r="C9" s="20">
        <f>IFERROR(VLOOKUP(B9,$A$18:$B$43,2,FALSE),$B$44)</f>
        <v>2.56226204963089</v>
      </c>
      <c r="E9" s="16">
        <v>15</v>
      </c>
      <c r="F9" s="17">
        <f>ROUND((E9*Salary1*12),2)</f>
        <v>190671.36</v>
      </c>
      <c r="G9" s="18">
        <f>ROUND((E9*Salary2*12),2)</f>
        <v>368174.44</v>
      </c>
      <c r="H9" s="19">
        <f>IF(ISBLANK('Student Template'!J8)=TRUE,"Empty Cell",ROUND(('Student Template'!J8),2))</f>
        <v>190671.36</v>
      </c>
      <c r="I9" s="40" t="str">
        <f t="shared" si="0"/>
        <v>C</v>
      </c>
      <c r="J9" s="40" t="str">
        <f>IFERROR(IF(OR((FIND("$D$6",_xlfn.FORMULATEXT('Student Template'!J8))&gt;0),(FIND("H8",_xlfn.FORMULATEXT('Student Template'!J8))&gt;0)),"C","N"),"N")</f>
        <v>C</v>
      </c>
      <c r="K9" s="41" t="str">
        <f t="shared" si="1"/>
        <v>C</v>
      </c>
      <c r="L9" s="42">
        <f>IF(ISBLANK('Student Template'!K8)=TRUE,"Empty Cell",ROUND(('Student Template'!K8),2))</f>
        <v>368174.44</v>
      </c>
      <c r="M9" s="40" t="str">
        <f>IF(G9=L9,"C","N")</f>
        <v>C</v>
      </c>
      <c r="N9" s="40" t="str">
        <f>IFERROR(IF(OR((FIND("$D$8",_xlfn.FORMULATEXT('Student Template'!K8))&gt;0),(FIND("H8",_xlfn.FORMULATEXT('Student Template'!K8))&gt;0)),"C","N"),"N")</f>
        <v>C</v>
      </c>
      <c r="O9" s="43" t="str">
        <f t="shared" si="2"/>
        <v>C</v>
      </c>
      <c r="R9" t="s">
        <v>32</v>
      </c>
      <c r="S9" t="s">
        <v>56</v>
      </c>
    </row>
    <row r="10" spans="1:19">
      <c r="A10" s="15" t="s">
        <v>57</v>
      </c>
      <c r="B10" s="20" t="str">
        <f>UPPER(IF(LEN(Name)&lt;=2,"Z",MID($B$5,3,1)))</f>
        <v>I</v>
      </c>
      <c r="C10" s="20">
        <f>IFERROR(VLOOKUP(B10,$A$18:$B$43,2,FALSE),$B$44)</f>
        <v>2.57458306312889</v>
      </c>
      <c r="E10" s="16">
        <v>20</v>
      </c>
      <c r="F10" s="17">
        <f>ROUND((E10*Salary1*12),2)</f>
        <v>254228.48</v>
      </c>
      <c r="G10" s="18">
        <f>ROUND((E10*Salary2*12),2)</f>
        <v>490899.25</v>
      </c>
      <c r="H10" s="19">
        <f>IF(ISBLANK('Student Template'!J9)=TRUE,"Empty Cell",ROUND(('Student Template'!J9),2))</f>
        <v>254228.48</v>
      </c>
      <c r="I10" s="40" t="str">
        <f t="shared" si="0"/>
        <v>C</v>
      </c>
      <c r="J10" s="40" t="str">
        <f>IFERROR(IF(OR((FIND("$D$6",_xlfn.FORMULATEXT('Student Template'!J9))&gt;0),(FIND("H9",_xlfn.FORMULATEXT('Student Template'!J9))&gt;0)),"C","N"),"N")</f>
        <v>C</v>
      </c>
      <c r="K10" s="41" t="str">
        <f t="shared" si="1"/>
        <v>C</v>
      </c>
      <c r="L10" s="42">
        <f>IF(ISBLANK('Student Template'!K9)=TRUE,"Empty Cell",ROUND(('Student Template'!K9),2))</f>
        <v>490899.25</v>
      </c>
      <c r="M10" s="40" t="str">
        <f>IF(G10=L10,"C","N")</f>
        <v>C</v>
      </c>
      <c r="N10" s="40" t="str">
        <f>IFERROR(IF(OR((FIND("$D$8",_xlfn.FORMULATEXT('Student Template'!K9))&gt;0),(FIND("H9",_xlfn.FORMULATEXT('Student Template'!K9))&gt;0)),"C","N"),"N")</f>
        <v>C</v>
      </c>
      <c r="O10" s="43" t="str">
        <f t="shared" si="2"/>
        <v>C</v>
      </c>
      <c r="R10" t="s">
        <v>34</v>
      </c>
      <c r="S10" t="s">
        <v>58</v>
      </c>
    </row>
    <row r="11" ht="16.5" spans="5:15">
      <c r="E11" s="21">
        <v>25</v>
      </c>
      <c r="F11" s="22">
        <f>ROUND((E11*Salary1*12),2)</f>
        <v>317785.6</v>
      </c>
      <c r="G11" s="23">
        <f>ROUND((E11*Salary2*12),2)</f>
        <v>613624.07</v>
      </c>
      <c r="H11" s="24">
        <f>IF(ISBLANK('Student Template'!J10)=TRUE,"Empty Cell",ROUND(('Student Template'!J10),2))</f>
        <v>317785.6</v>
      </c>
      <c r="I11" s="44" t="str">
        <f t="shared" si="0"/>
        <v>C</v>
      </c>
      <c r="J11" s="44" t="str">
        <f>IFERROR(IF(OR((FIND("$D$6",_xlfn.FORMULATEXT('Student Template'!J10))&gt;0),(FIND("H10",_xlfn.FORMULATEXT('Student Template'!J10))&gt;0)),"C","N"),"N")</f>
        <v>C</v>
      </c>
      <c r="K11" s="45" t="str">
        <f t="shared" si="1"/>
        <v>C</v>
      </c>
      <c r="L11" s="46">
        <f>IF(ISBLANK('Student Template'!K10)=TRUE,"Empty Cell",ROUND(('Student Template'!K10),2))</f>
        <v>613624.07</v>
      </c>
      <c r="M11" s="44" t="str">
        <f>IF(G11=L11,"C","N")</f>
        <v>C</v>
      </c>
      <c r="N11" s="44" t="str">
        <f>IFERROR(IF(OR((FIND("$D$8",_xlfn.FORMULATEXT('Student Template'!K10))&gt;0),(FIND("H10",_xlfn.FORMULATEXT('Student Template'!K10))&gt;0)),"C","N"),"N")</f>
        <v>C</v>
      </c>
      <c r="O11" s="47" t="str">
        <f t="shared" si="2"/>
        <v>C</v>
      </c>
    </row>
    <row r="12" spans="1:2">
      <c r="A12" s="15" t="s">
        <v>59</v>
      </c>
      <c r="B12" s="17">
        <f>IF(B5="Empty Cell","",C8*C9*160)</f>
        <v>1059.2853294367</v>
      </c>
    </row>
    <row r="13" spans="1:2">
      <c r="A13" s="15" t="s">
        <v>60</v>
      </c>
      <c r="B13" s="17">
        <f>IF(B5="Empty Cell","",C8*C9*(C10*0.75)*160)</f>
        <v>2045.41355114148</v>
      </c>
    </row>
    <row r="15" spans="5:11">
      <c r="E15" s="3" t="s">
        <v>61</v>
      </c>
      <c r="F15" s="3"/>
      <c r="G15" s="3"/>
      <c r="H15" s="3"/>
      <c r="I15" s="3"/>
      <c r="J15" s="3"/>
      <c r="K15" s="3"/>
    </row>
    <row r="16" spans="5:22">
      <c r="E16" s="25" t="s">
        <v>62</v>
      </c>
      <c r="F16" s="26"/>
      <c r="G16" s="27"/>
      <c r="I16" s="48" t="s">
        <v>63</v>
      </c>
      <c r="J16" s="49"/>
      <c r="K16" s="50"/>
      <c r="L16" s="51"/>
      <c r="M16" s="51"/>
      <c r="N16" s="51"/>
      <c r="O16" s="51"/>
      <c r="P16" s="51"/>
      <c r="R16" s="51"/>
      <c r="S16" s="51"/>
      <c r="T16" s="51"/>
      <c r="U16" s="51"/>
      <c r="V16" s="51"/>
    </row>
    <row r="17" spans="1:18">
      <c r="A17" s="28" t="s">
        <v>64</v>
      </c>
      <c r="B17" s="29" t="s">
        <v>51</v>
      </c>
      <c r="E17" s="28" t="s">
        <v>65</v>
      </c>
      <c r="F17" s="28" t="s">
        <v>66</v>
      </c>
      <c r="G17" s="28" t="s">
        <v>67</v>
      </c>
      <c r="I17" s="28" t="s">
        <v>65</v>
      </c>
      <c r="J17" s="28" t="s">
        <v>66</v>
      </c>
      <c r="K17" s="28" t="s">
        <v>67</v>
      </c>
      <c r="N17" s="52" t="s">
        <v>65</v>
      </c>
      <c r="O17" s="53" t="s">
        <v>68</v>
      </c>
      <c r="P17" s="53" t="s">
        <v>69</v>
      </c>
      <c r="Q17" t="s">
        <v>54</v>
      </c>
      <c r="R17" t="s">
        <v>46</v>
      </c>
    </row>
    <row r="18" spans="1:18">
      <c r="A18" s="30" t="s">
        <v>30</v>
      </c>
      <c r="B18" s="31">
        <v>2.55</v>
      </c>
      <c r="C18" s="32"/>
      <c r="D18" s="32"/>
      <c r="E18" s="20">
        <v>1</v>
      </c>
      <c r="F18" s="33">
        <f>B18*7.02</f>
        <v>17.901</v>
      </c>
      <c r="G18" s="17">
        <f t="shared" ref="G18:G44" si="3">F18*12*IF(E18=1,Salary1,Salary2)</f>
        <v>227547.200186957</v>
      </c>
      <c r="H18" s="34"/>
      <c r="I18" s="20">
        <v>1</v>
      </c>
      <c r="J18" s="33">
        <f>B18*3.425</f>
        <v>8.73375</v>
      </c>
      <c r="K18" s="17">
        <f t="shared" ref="K18:K44" si="4">J18*12*IF(I18=1,Salary1,Salary2)</f>
        <v>111018.398951614</v>
      </c>
      <c r="M18" t="s">
        <v>70</v>
      </c>
      <c r="N18">
        <f>IFERROR(VLOOKUP(B8,A18:E44,5,FALSE),E44)</f>
        <v>2</v>
      </c>
      <c r="O18">
        <f>ROUND(IFERROR(VLOOKUP(B8,A18:F44,6,FALSE),F44),2)</f>
        <v>18.14</v>
      </c>
      <c r="P18" s="54" t="str">
        <f>TEXT(ROUND(IFERROR(VLOOKUP(B8,A18:G44,7,FALSE),G44),0),"$###,##0")</f>
        <v>$445214,0</v>
      </c>
      <c r="Q18" t="str">
        <f>IF(ISBLANK('Student Template'!AA4)=TRUE,"Empty Cell",'Student Template'!AA4)</f>
        <v>Cindy's Future Salary</v>
      </c>
      <c r="R18" t="str">
        <f>IF(Q18=M27,"C","N")</f>
        <v>C</v>
      </c>
    </row>
    <row r="19" spans="1:18">
      <c r="A19" s="30" t="s">
        <v>71</v>
      </c>
      <c r="B19" s="31">
        <f>B18*1.0012</f>
        <v>2.55306</v>
      </c>
      <c r="E19" s="20">
        <v>2</v>
      </c>
      <c r="F19" s="33">
        <f t="shared" ref="F19:F44" si="5">B19*7.02</f>
        <v>17.9224812</v>
      </c>
      <c r="G19" s="17">
        <f t="shared" si="3"/>
        <v>439906.630998701</v>
      </c>
      <c r="H19" s="34"/>
      <c r="I19" s="20">
        <v>2</v>
      </c>
      <c r="J19" s="33">
        <f>B19*3.425</f>
        <v>8.7442305</v>
      </c>
      <c r="K19" s="17">
        <f t="shared" si="4"/>
        <v>214626.810708056</v>
      </c>
      <c r="M19" t="s">
        <v>72</v>
      </c>
      <c r="N19">
        <f>IFERROR(VLOOKUP(B9,A18:I44,9,FALSE),$I$44)</f>
        <v>1</v>
      </c>
      <c r="O19" s="55">
        <f>ROUND(IFERROR(VLOOKUP(B9,A18:J44,10,FALSE),J44),2)</f>
        <v>8.78</v>
      </c>
      <c r="P19" s="56" t="str">
        <f>TEXT(ROUND(IFERROR(VLOOKUP(B9,A18:K43,11,FALSE),K44),0),"$###,##0")</f>
        <v>$111552,0</v>
      </c>
      <c r="Q19" t="str">
        <f>IF(ISBLANK('Student Template'!AA6)=TRUE,"Empty Cell",'Student Template'!AA6)</f>
        <v>Cindy's Current Salary</v>
      </c>
      <c r="R19" t="str">
        <f>IF(Q19=M28,"C","N")</f>
        <v>C</v>
      </c>
    </row>
    <row r="20" spans="1:11">
      <c r="A20" s="30" t="s">
        <v>28</v>
      </c>
      <c r="B20" s="31">
        <f t="shared" ref="B20:B44" si="6">B19*1.0012</f>
        <v>2.556123672</v>
      </c>
      <c r="E20" s="20">
        <v>1</v>
      </c>
      <c r="F20" s="33">
        <f t="shared" si="5"/>
        <v>17.94398817744</v>
      </c>
      <c r="G20" s="17">
        <f t="shared" si="3"/>
        <v>228093.641135374</v>
      </c>
      <c r="H20" s="34"/>
      <c r="I20" s="20">
        <v>1</v>
      </c>
      <c r="J20" s="33">
        <f t="shared" ref="J20:J44" si="7">B20*3.425</f>
        <v>8.7547235766</v>
      </c>
      <c r="K20" s="17">
        <f t="shared" si="4"/>
        <v>111285.002975592</v>
      </c>
    </row>
    <row r="21" spans="1:13">
      <c r="A21" s="30" t="s">
        <v>73</v>
      </c>
      <c r="B21" s="31">
        <f t="shared" si="6"/>
        <v>2.5591910204064</v>
      </c>
      <c r="E21" s="20">
        <v>2</v>
      </c>
      <c r="F21" s="33">
        <f t="shared" si="5"/>
        <v>17.9655209632529</v>
      </c>
      <c r="G21" s="17">
        <f t="shared" si="3"/>
        <v>440963.040378647</v>
      </c>
      <c r="H21" s="34"/>
      <c r="I21" s="20">
        <v>2</v>
      </c>
      <c r="J21" s="33">
        <f t="shared" si="7"/>
        <v>8.76522924489192</v>
      </c>
      <c r="K21" s="17">
        <f t="shared" si="4"/>
        <v>215142.224116363</v>
      </c>
      <c r="M21" s="57" t="s">
        <v>74</v>
      </c>
    </row>
    <row r="22" spans="1:13">
      <c r="A22" s="30" t="s">
        <v>75</v>
      </c>
      <c r="B22" s="31">
        <f t="shared" si="6"/>
        <v>2.56226204963089</v>
      </c>
      <c r="E22" s="20">
        <v>1</v>
      </c>
      <c r="F22" s="33">
        <f t="shared" si="5"/>
        <v>17.9870795884088</v>
      </c>
      <c r="G22" s="17">
        <f t="shared" si="3"/>
        <v>228641.394328942</v>
      </c>
      <c r="H22" s="34"/>
      <c r="I22" s="20">
        <v>1</v>
      </c>
      <c r="J22" s="33">
        <f t="shared" si="7"/>
        <v>8.77574751998579</v>
      </c>
      <c r="K22" s="17">
        <f t="shared" si="4"/>
        <v>111552.247233138</v>
      </c>
      <c r="M22" s="57"/>
    </row>
    <row r="23" spans="1:13">
      <c r="A23" s="30" t="s">
        <v>76</v>
      </c>
      <c r="B23" s="31">
        <f t="shared" si="6"/>
        <v>2.56533676409045</v>
      </c>
      <c r="E23" s="20">
        <v>2</v>
      </c>
      <c r="F23" s="33">
        <f t="shared" si="5"/>
        <v>18.0086640839149</v>
      </c>
      <c r="G23" s="17">
        <f t="shared" si="3"/>
        <v>442021.986662334</v>
      </c>
      <c r="H23" s="34"/>
      <c r="I23" s="20">
        <v>2</v>
      </c>
      <c r="J23" s="33">
        <f t="shared" si="7"/>
        <v>8.78627841700978</v>
      </c>
      <c r="K23" s="17">
        <f t="shared" si="4"/>
        <v>215658.875259045</v>
      </c>
      <c r="M23" t="s">
        <v>22</v>
      </c>
    </row>
    <row r="24" spans="1:13">
      <c r="A24" s="30" t="s">
        <v>77</v>
      </c>
      <c r="B24" s="31">
        <f t="shared" si="6"/>
        <v>2.56841516820735</v>
      </c>
      <c r="E24" s="20">
        <v>1</v>
      </c>
      <c r="F24" s="33">
        <f t="shared" si="5"/>
        <v>18.0302744808156</v>
      </c>
      <c r="G24" s="17">
        <f t="shared" si="3"/>
        <v>229190.462918939</v>
      </c>
      <c r="H24" s="34"/>
      <c r="I24" s="20">
        <v>1</v>
      </c>
      <c r="J24" s="33">
        <f t="shared" si="7"/>
        <v>8.79682195111019</v>
      </c>
      <c r="K24" s="17">
        <f t="shared" si="4"/>
        <v>111820.133261733</v>
      </c>
      <c r="M24" t="s">
        <v>13</v>
      </c>
    </row>
    <row r="25" spans="1:11">
      <c r="A25" s="30" t="s">
        <v>78</v>
      </c>
      <c r="B25" s="31">
        <f t="shared" si="6"/>
        <v>2.5714972664092</v>
      </c>
      <c r="E25" s="20">
        <v>2</v>
      </c>
      <c r="F25" s="33">
        <f t="shared" si="5"/>
        <v>18.0519108101926</v>
      </c>
      <c r="G25" s="17">
        <f t="shared" si="3"/>
        <v>443083.475941984</v>
      </c>
      <c r="H25" s="34"/>
      <c r="I25" s="20">
        <v>2</v>
      </c>
      <c r="J25" s="33">
        <f t="shared" si="7"/>
        <v>8.80737813745152</v>
      </c>
      <c r="K25" s="17">
        <f t="shared" si="4"/>
        <v>216176.767108447</v>
      </c>
    </row>
    <row r="26" spans="1:13">
      <c r="A26" s="30" t="s">
        <v>79</v>
      </c>
      <c r="B26" s="31">
        <f t="shared" si="6"/>
        <v>2.57458306312889</v>
      </c>
      <c r="E26" s="20">
        <v>1</v>
      </c>
      <c r="F26" s="33">
        <f t="shared" si="5"/>
        <v>18.0735731031648</v>
      </c>
      <c r="G26" s="17">
        <f t="shared" si="3"/>
        <v>229740.850064211</v>
      </c>
      <c r="H26" s="34"/>
      <c r="I26" s="20">
        <v>1</v>
      </c>
      <c r="J26" s="33">
        <f t="shared" si="7"/>
        <v>8.81794699121646</v>
      </c>
      <c r="K26" s="17">
        <f t="shared" si="4"/>
        <v>112088.662602553</v>
      </c>
      <c r="M26" s="57" t="s">
        <v>80</v>
      </c>
    </row>
    <row r="27" spans="1:13">
      <c r="A27" s="30" t="s">
        <v>81</v>
      </c>
      <c r="B27" s="31">
        <f t="shared" si="6"/>
        <v>2.57767256280465</v>
      </c>
      <c r="E27" s="20">
        <v>2</v>
      </c>
      <c r="F27" s="33">
        <f t="shared" si="5"/>
        <v>18.0952613908886</v>
      </c>
      <c r="G27" s="17">
        <f t="shared" si="3"/>
        <v>444147.514324451</v>
      </c>
      <c r="H27" s="34"/>
      <c r="I27" s="20">
        <v>2</v>
      </c>
      <c r="J27" s="33">
        <f t="shared" si="7"/>
        <v>8.82852852760592</v>
      </c>
      <c r="K27" s="17">
        <f t="shared" si="4"/>
        <v>216695.902644052</v>
      </c>
      <c r="M27" t="str">
        <f>IF(N18=1,"Cindy's Current Salary","Cindy's Future Salary")</f>
        <v>Cindy's Future Salary</v>
      </c>
    </row>
    <row r="28" spans="1:13">
      <c r="A28" s="30" t="s">
        <v>82</v>
      </c>
      <c r="B28" s="31">
        <f t="shared" si="6"/>
        <v>2.58076576988002</v>
      </c>
      <c r="E28" s="20">
        <v>1</v>
      </c>
      <c r="F28" s="33">
        <f t="shared" si="5"/>
        <v>18.1169757045577</v>
      </c>
      <c r="G28" s="17">
        <f t="shared" si="3"/>
        <v>230292.55893119</v>
      </c>
      <c r="H28" s="34"/>
      <c r="I28" s="20">
        <v>1</v>
      </c>
      <c r="J28" s="33">
        <f t="shared" si="7"/>
        <v>8.83912276183905</v>
      </c>
      <c r="K28" s="17">
        <f t="shared" si="4"/>
        <v>112357.836800474</v>
      </c>
      <c r="M28" t="str">
        <f>IF(N19=1,"Cindy's Current Salary","Cindy's Future Salary")</f>
        <v>Cindy's Current Salary</v>
      </c>
    </row>
    <row r="29" spans="1:13">
      <c r="A29" s="30" t="s">
        <v>83</v>
      </c>
      <c r="B29" s="31">
        <f t="shared" si="6"/>
        <v>2.58386268880387</v>
      </c>
      <c r="E29" s="20">
        <v>2</v>
      </c>
      <c r="F29" s="33">
        <f t="shared" si="5"/>
        <v>18.1387160754032</v>
      </c>
      <c r="G29" s="17">
        <f t="shared" si="3"/>
        <v>445214.10793125</v>
      </c>
      <c r="H29" s="34"/>
      <c r="I29" s="20">
        <v>2</v>
      </c>
      <c r="J29" s="33">
        <f t="shared" si="7"/>
        <v>8.84972970915326</v>
      </c>
      <c r="K29" s="17">
        <f t="shared" si="4"/>
        <v>217216.284852497</v>
      </c>
      <c r="M29" t="s">
        <v>13</v>
      </c>
    </row>
    <row r="30" spans="1:11">
      <c r="A30" s="30" t="s">
        <v>84</v>
      </c>
      <c r="B30" s="31">
        <f t="shared" si="6"/>
        <v>2.58696332403044</v>
      </c>
      <c r="E30" s="20">
        <v>1</v>
      </c>
      <c r="F30" s="33">
        <f t="shared" si="5"/>
        <v>18.1604825346937</v>
      </c>
      <c r="G30" s="17">
        <f t="shared" si="3"/>
        <v>230845.592693909</v>
      </c>
      <c r="H30" s="34"/>
      <c r="I30" s="20">
        <v>1</v>
      </c>
      <c r="J30" s="33">
        <f t="shared" si="7"/>
        <v>8.86034938480424</v>
      </c>
      <c r="K30" s="17">
        <f t="shared" si="4"/>
        <v>112627.65740408</v>
      </c>
    </row>
    <row r="31" spans="1:11">
      <c r="A31" s="30" t="s">
        <v>34</v>
      </c>
      <c r="B31" s="31">
        <f t="shared" si="6"/>
        <v>2.59006768001927</v>
      </c>
      <c r="E31" s="20">
        <v>2</v>
      </c>
      <c r="F31" s="33">
        <f t="shared" si="5"/>
        <v>18.1822751137353</v>
      </c>
      <c r="G31" s="17">
        <f t="shared" si="3"/>
        <v>446283.262898601</v>
      </c>
      <c r="H31" s="34"/>
      <c r="I31" s="20">
        <v>2</v>
      </c>
      <c r="J31" s="33">
        <f t="shared" si="7"/>
        <v>8.87098180406601</v>
      </c>
      <c r="K31" s="17">
        <f t="shared" si="4"/>
        <v>217737.916727594</v>
      </c>
    </row>
    <row r="32" spans="1:11">
      <c r="A32" s="30" t="s">
        <v>85</v>
      </c>
      <c r="B32" s="31">
        <f t="shared" si="6"/>
        <v>2.5931757612353</v>
      </c>
      <c r="E32" s="20">
        <v>1</v>
      </c>
      <c r="F32" s="33">
        <f t="shared" si="5"/>
        <v>18.2040938438718</v>
      </c>
      <c r="G32" s="17">
        <f t="shared" si="3"/>
        <v>231399.954534028</v>
      </c>
      <c r="H32" s="34"/>
      <c r="I32" s="20">
        <v>1</v>
      </c>
      <c r="J32" s="33">
        <f t="shared" si="7"/>
        <v>8.88162698223089</v>
      </c>
      <c r="K32" s="17">
        <f t="shared" si="4"/>
        <v>112898.125965676</v>
      </c>
    </row>
    <row r="33" spans="1:11">
      <c r="A33" s="30" t="s">
        <v>86</v>
      </c>
      <c r="B33" s="31">
        <f t="shared" si="6"/>
        <v>2.59628757214878</v>
      </c>
      <c r="E33" s="20">
        <v>2</v>
      </c>
      <c r="F33" s="33">
        <f t="shared" si="5"/>
        <v>18.2259387564844</v>
      </c>
      <c r="G33" s="17">
        <f t="shared" si="3"/>
        <v>447354.985377456</v>
      </c>
      <c r="H33" s="34"/>
      <c r="I33" s="20">
        <v>2</v>
      </c>
      <c r="J33" s="33">
        <f t="shared" si="7"/>
        <v>8.89228493460957</v>
      </c>
      <c r="K33" s="17">
        <f t="shared" si="4"/>
        <v>218260.80127034</v>
      </c>
    </row>
    <row r="34" spans="1:11">
      <c r="A34" s="30" t="s">
        <v>87</v>
      </c>
      <c r="B34" s="31">
        <f t="shared" si="6"/>
        <v>2.59940311723536</v>
      </c>
      <c r="E34" s="20">
        <v>1</v>
      </c>
      <c r="F34" s="33">
        <f t="shared" si="5"/>
        <v>18.2478098829922</v>
      </c>
      <c r="G34" s="17">
        <f t="shared" si="3"/>
        <v>231955.647640844</v>
      </c>
      <c r="H34" s="34"/>
      <c r="I34" s="20">
        <v>1</v>
      </c>
      <c r="J34" s="33">
        <f t="shared" si="7"/>
        <v>8.9029556765311</v>
      </c>
      <c r="K34" s="17">
        <f t="shared" si="4"/>
        <v>113169.244041295</v>
      </c>
    </row>
    <row r="35" spans="1:11">
      <c r="A35" s="30" t="s">
        <v>88</v>
      </c>
      <c r="B35" s="31">
        <f t="shared" si="6"/>
        <v>2.60252240097604</v>
      </c>
      <c r="E35" s="20">
        <v>2</v>
      </c>
      <c r="F35" s="33">
        <f t="shared" si="5"/>
        <v>18.2697072548518</v>
      </c>
      <c r="G35" s="17">
        <f t="shared" si="3"/>
        <v>448429.281533541</v>
      </c>
      <c r="H35" s="34"/>
      <c r="I35" s="20">
        <v>2</v>
      </c>
      <c r="J35" s="33">
        <f t="shared" si="7"/>
        <v>8.91363922334294</v>
      </c>
      <c r="K35" s="17">
        <f t="shared" si="4"/>
        <v>218784.941488943</v>
      </c>
    </row>
    <row r="36" spans="1:11">
      <c r="A36" s="30" t="s">
        <v>89</v>
      </c>
      <c r="B36" s="31">
        <f t="shared" si="6"/>
        <v>2.60564542785721</v>
      </c>
      <c r="E36" s="20">
        <v>1</v>
      </c>
      <c r="F36" s="33">
        <f t="shared" si="5"/>
        <v>18.2916309035576</v>
      </c>
      <c r="G36" s="17">
        <f t="shared" si="3"/>
        <v>232512.675211315</v>
      </c>
      <c r="H36" s="34"/>
      <c r="I36" s="20">
        <v>1</v>
      </c>
      <c r="J36" s="33">
        <f t="shared" si="7"/>
        <v>8.92433559041095</v>
      </c>
      <c r="K36" s="17">
        <f t="shared" si="4"/>
        <v>113441.013190706</v>
      </c>
    </row>
    <row r="37" spans="1:11">
      <c r="A37" s="30" t="s">
        <v>90</v>
      </c>
      <c r="B37" s="31">
        <f t="shared" si="6"/>
        <v>2.60877220237064</v>
      </c>
      <c r="E37" s="20">
        <v>2</v>
      </c>
      <c r="F37" s="33">
        <f t="shared" si="5"/>
        <v>18.3135808606419</v>
      </c>
      <c r="G37" s="17">
        <f t="shared" si="3"/>
        <v>449506.157547387</v>
      </c>
      <c r="H37" s="34"/>
      <c r="I37" s="20">
        <v>2</v>
      </c>
      <c r="J37" s="33">
        <f t="shared" si="7"/>
        <v>8.93504479311945</v>
      </c>
      <c r="K37" s="17">
        <f t="shared" si="4"/>
        <v>219310.340398832</v>
      </c>
    </row>
    <row r="38" spans="1:11">
      <c r="A38" s="30" t="s">
        <v>91</v>
      </c>
      <c r="B38" s="31">
        <f t="shared" si="6"/>
        <v>2.61190272901349</v>
      </c>
      <c r="E38" s="20">
        <v>1</v>
      </c>
      <c r="F38" s="33">
        <f t="shared" si="5"/>
        <v>18.3355571576747</v>
      </c>
      <c r="G38" s="17">
        <f t="shared" si="3"/>
        <v>233071.040450075</v>
      </c>
      <c r="H38" s="34"/>
      <c r="I38" s="20">
        <v>1</v>
      </c>
      <c r="J38" s="33">
        <f t="shared" si="7"/>
        <v>8.94576684687119</v>
      </c>
      <c r="K38" s="17">
        <f t="shared" si="4"/>
        <v>113713.434977422</v>
      </c>
    </row>
    <row r="39" spans="1:11">
      <c r="A39" s="30" t="s">
        <v>92</v>
      </c>
      <c r="B39" s="31">
        <f t="shared" si="6"/>
        <v>2.6150370122883</v>
      </c>
      <c r="E39" s="20">
        <v>2</v>
      </c>
      <c r="F39" s="33">
        <f t="shared" si="5"/>
        <v>18.3575598262639</v>
      </c>
      <c r="G39" s="17">
        <f t="shared" si="3"/>
        <v>450585.619614367</v>
      </c>
      <c r="H39" s="34"/>
      <c r="I39" s="20">
        <v>2</v>
      </c>
      <c r="J39" s="33">
        <f t="shared" si="7"/>
        <v>8.95650176708743</v>
      </c>
      <c r="K39" s="17">
        <f t="shared" si="4"/>
        <v>219837.001022679</v>
      </c>
    </row>
    <row r="40" spans="1:11">
      <c r="A40" s="30" t="s">
        <v>93</v>
      </c>
      <c r="B40" s="31">
        <f t="shared" si="6"/>
        <v>2.61817505670305</v>
      </c>
      <c r="E40" s="20">
        <v>1</v>
      </c>
      <c r="F40" s="33">
        <f t="shared" si="5"/>
        <v>18.3795888980554</v>
      </c>
      <c r="G40" s="17">
        <f t="shared" si="3"/>
        <v>233630.746569453</v>
      </c>
      <c r="H40" s="34"/>
      <c r="I40" s="20">
        <v>1</v>
      </c>
      <c r="J40" s="33">
        <f t="shared" si="7"/>
        <v>8.96724956920794</v>
      </c>
      <c r="K40" s="17">
        <f t="shared" si="4"/>
        <v>113986.510968715</v>
      </c>
    </row>
    <row r="41" spans="1:11">
      <c r="A41" s="30" t="s">
        <v>94</v>
      </c>
      <c r="B41" s="31">
        <f t="shared" si="6"/>
        <v>2.62131686677109</v>
      </c>
      <c r="E41" s="20">
        <v>2</v>
      </c>
      <c r="F41" s="33">
        <f t="shared" si="5"/>
        <v>18.4016444047331</v>
      </c>
      <c r="G41" s="17">
        <f t="shared" si="3"/>
        <v>451667.673944734</v>
      </c>
      <c r="H41" s="34"/>
      <c r="I41" s="20">
        <v>2</v>
      </c>
      <c r="J41" s="33">
        <f t="shared" si="7"/>
        <v>8.97801026869099</v>
      </c>
      <c r="K41" s="17">
        <f t="shared" si="4"/>
        <v>220364.926390415</v>
      </c>
    </row>
    <row r="42" spans="1:11">
      <c r="A42" s="30" t="s">
        <v>95</v>
      </c>
      <c r="B42" s="31">
        <f t="shared" si="6"/>
        <v>2.62446244701122</v>
      </c>
      <c r="E42" s="20">
        <v>1</v>
      </c>
      <c r="F42" s="33">
        <f t="shared" si="5"/>
        <v>18.4237263780188</v>
      </c>
      <c r="G42" s="17">
        <f t="shared" si="3"/>
        <v>234191.796789495</v>
      </c>
      <c r="H42" s="34"/>
      <c r="I42" s="20">
        <v>1</v>
      </c>
      <c r="J42" s="33">
        <f t="shared" si="7"/>
        <v>8.98878388101342</v>
      </c>
      <c r="K42" s="17">
        <f t="shared" si="4"/>
        <v>114260.242735615</v>
      </c>
    </row>
    <row r="43" spans="1:11">
      <c r="A43" s="30" t="s">
        <v>96</v>
      </c>
      <c r="B43" s="35">
        <f t="shared" si="6"/>
        <v>2.62761180194763</v>
      </c>
      <c r="E43" s="20">
        <v>2</v>
      </c>
      <c r="F43" s="33">
        <f t="shared" si="5"/>
        <v>18.4458348496724</v>
      </c>
      <c r="G43" s="17">
        <f t="shared" si="3"/>
        <v>452752.326763652</v>
      </c>
      <c r="H43" s="34"/>
      <c r="I43" s="20">
        <v>2</v>
      </c>
      <c r="J43" s="33">
        <f t="shared" si="7"/>
        <v>8.99957042167064</v>
      </c>
      <c r="K43" s="17">
        <f t="shared" si="4"/>
        <v>220894.119539246</v>
      </c>
    </row>
    <row r="44" spans="1:11">
      <c r="A44" s="36" t="s">
        <v>97</v>
      </c>
      <c r="B44" s="37">
        <f t="shared" si="6"/>
        <v>2.63076493610997</v>
      </c>
      <c r="E44" s="20">
        <v>1</v>
      </c>
      <c r="F44" s="33">
        <f t="shared" si="5"/>
        <v>18.467969851492</v>
      </c>
      <c r="G44" s="17">
        <f t="shared" si="3"/>
        <v>234754.194337977</v>
      </c>
      <c r="I44" s="20">
        <v>1</v>
      </c>
      <c r="J44" s="33">
        <f t="shared" si="7"/>
        <v>9.01036990617665</v>
      </c>
      <c r="K44" s="17">
        <f t="shared" si="4"/>
        <v>114534.63185293</v>
      </c>
    </row>
  </sheetData>
  <sheetProtection selectLockedCells="1" selectUnlockedCells="1"/>
  <mergeCells count="7">
    <mergeCell ref="A3:C3"/>
    <mergeCell ref="E3:G3"/>
    <mergeCell ref="E5:G5"/>
    <mergeCell ref="H5:K5"/>
    <mergeCell ref="L5:O5"/>
    <mergeCell ref="E15:K15"/>
    <mergeCell ref="I16:K16"/>
  </mergeCell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Template</vt:lpstr>
      <vt:lpstr>Variables- Admin Use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leriennys pereira hidrogo (Nen</cp:lastModifiedBy>
  <dcterms:created xsi:type="dcterms:W3CDTF">2023-07-05T17:24:00Z</dcterms:created>
  <dcterms:modified xsi:type="dcterms:W3CDTF">2026-01-27T20:25:18Z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B6B83BA01249448ABA4334B0FFD3EC68_13</vt:lpwstr>
  </property>
  <property fmtid="{D5CDD505-2E9C-101B-9397-08002B2CF9AE}" pid="3" name="KSOProductBuildVer">
    <vt:lpwstr>3082-12.2.0.23196</vt:lpwstr>
  </property>
</Properties>
</file>