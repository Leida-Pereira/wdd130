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<sst xmlns="http://schemas.openxmlformats.org/spreadsheetml/2006/main" count="28" uniqueCount="28">
  <si>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"Leida Pereira"</t>
  </si>
  <si>
    <t>Date</t>
  </si>
  <si>
    <t>Sales</t>
  </si>
  <si>
    <t>Discount %</t>
  </si>
  <si>
    <t>Item</t>
  </si>
  <si>
    <t>Price</t>
  </si>
  <si>
    <t>Discount</t>
  </si>
  <si>
    <t>Final Price</t>
  </si>
  <si>
    <t>Apple</t>
  </si>
  <si>
    <t>Kiwi</t>
  </si>
  <si>
    <t>For instructions, see your Canvas course at W03 Application Activity: Introduction to Spreadsheets.</t>
  </si>
  <si>
    <t>Orange</t>
  </si>
  <si>
    <t>Mango</t>
  </si>
  <si>
    <t>Grapes</t>
  </si>
  <si>
    <t>Tomato</t>
  </si>
  <si>
    <t>C</t>
  </si>
  <si>
    <r>
      <rPr>
        <sz val="12"/>
        <color theme="1"/>
        <rFont val="Calibri"/>
        <charset val="134"/>
        <scheme val="minor"/>
      </rPr>
      <t xml:space="preserve"> = </t>
    </r>
    <r>
      <rPr>
        <b/>
        <u/>
        <sz val="12"/>
        <color theme="1"/>
        <rFont val="Calibri (Body)"/>
        <charset val="134"/>
      </rPr>
      <t>C</t>
    </r>
    <r>
      <rPr>
        <sz val="12"/>
        <color theme="1"/>
        <rFont val="Calibri"/>
        <charset val="134"/>
        <scheme val="minor"/>
      </rPr>
      <t>orrect</t>
    </r>
  </si>
  <si>
    <t xml:space="preserve">Total </t>
  </si>
  <si>
    <t xml:space="preserve"> </t>
  </si>
  <si>
    <t>F</t>
  </si>
  <si>
    <r>
      <rPr>
        <sz val="12"/>
        <color theme="1"/>
        <rFont val="Calibri"/>
        <charset val="134"/>
        <scheme val="minor"/>
      </rPr>
      <t xml:space="preserve"> = SUM </t>
    </r>
    <r>
      <rPr>
        <b/>
        <u/>
        <sz val="12"/>
        <color theme="1"/>
        <rFont val="Calibri (Body)"/>
        <charset val="134"/>
      </rPr>
      <t>F</t>
    </r>
    <r>
      <rPr>
        <sz val="12"/>
        <color theme="1"/>
        <rFont val="Calibri"/>
        <charset val="134"/>
        <scheme val="minor"/>
      </rPr>
      <t>ormula Missing (D12 only)</t>
    </r>
  </si>
  <si>
    <t>A</t>
  </si>
  <si>
    <r>
      <rPr>
        <sz val="12"/>
        <color theme="1"/>
        <rFont val="Calibri"/>
        <charset val="134"/>
        <scheme val="minor"/>
      </rPr>
      <t xml:space="preserve"> = Check </t>
    </r>
    <r>
      <rPr>
        <b/>
        <u/>
        <sz val="12"/>
        <color theme="1"/>
        <rFont val="Calibri (Body)"/>
        <charset val="134"/>
      </rPr>
      <t>A</t>
    </r>
    <r>
      <rPr>
        <sz val="12"/>
        <color theme="1"/>
        <rFont val="Calibri"/>
        <charset val="134"/>
        <scheme val="minor"/>
      </rPr>
      <t>nswer, Correct Cell Referencing or Formula (D12)</t>
    </r>
  </si>
  <si>
    <t>CR</t>
  </si>
  <si>
    <r>
      <rPr>
        <sz val="12"/>
        <color theme="1"/>
        <rFont val="Calibri"/>
        <charset val="134"/>
        <scheme val="minor"/>
      </rPr>
      <t xml:space="preserve"> = Check </t>
    </r>
    <r>
      <rPr>
        <b/>
        <sz val="12"/>
        <color theme="1"/>
        <rFont val="Calibri"/>
        <charset val="134"/>
        <scheme val="minor"/>
      </rPr>
      <t>C</t>
    </r>
    <r>
      <rPr>
        <sz val="12"/>
        <color theme="1"/>
        <rFont val="Calibri"/>
        <charset val="134"/>
        <scheme val="minor"/>
      </rPr>
      <t xml:space="preserve">ell </t>
    </r>
    <r>
      <rPr>
        <b/>
        <sz val="12"/>
        <color theme="1"/>
        <rFont val="Calibri"/>
        <charset val="134"/>
        <scheme val="minor"/>
      </rPr>
      <t>R</t>
    </r>
    <r>
      <rPr>
        <sz val="12"/>
        <color theme="1"/>
        <rFont val="Calibri"/>
        <charset val="134"/>
        <scheme val="minor"/>
      </rPr>
      <t>eferencing, Answer Correct</t>
    </r>
  </si>
  <si>
    <t>N</t>
  </si>
  <si>
    <r>
      <rPr>
        <sz val="12"/>
        <color theme="1"/>
        <rFont val="Calibri"/>
        <charset val="134"/>
        <scheme val="minor"/>
      </rPr>
      <t xml:space="preserve"> = </t>
    </r>
    <r>
      <rPr>
        <b/>
        <u/>
        <sz val="12"/>
        <color theme="1"/>
        <rFont val="Calibri (Body)"/>
        <charset val="134"/>
      </rPr>
      <t>N</t>
    </r>
    <r>
      <rPr>
        <sz val="12"/>
        <color theme="1"/>
        <rFont val="Calibri"/>
        <charset val="134"/>
        <scheme val="minor"/>
      </rPr>
      <t>ot Correct - Check Answer and Cell Referencing or Formula (D12)</t>
    </r>
  </si>
  <si>
    <t>=PAGO(0.028*12;6*12;18000))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</si>
</sst>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$-409]#,##0.00"/>
    <numFmt numFmtId="179" formatCode="&quot;$&quot;#,##0.00;\-&quot;$&quot;#,##0.00"/>
    <numFmt numFmtId="180" formatCode="&quot;$&quot;#,##0.00"/>
  </numFmts>
  <fonts count="26">
    <font>
      <sz val="11"/>
      <color theme="1"/>
      <name val="Calibri"/>
      <charset val="134"/>
      <scheme val="minor"/>
    </font>
    <font>
      <sz val="12"/>
      <color rgb="FF000000"/>
      <name val="Helvetic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2"/>
      <color theme="1"/>
      <name val="Calibri (Body)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Fill="1" applyAlignment="1"/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  <xf numFmtId="2" fontId="3" fillId="0" borderId="0" xfId="0" applyNumberFormat="1" applyFont="1" applyFill="1" applyAlignment="1"/>
    <xf numFmtId="0" fontId="3" fillId="0" borderId="0" xfId="0" applyFont="1" applyFill="1" applyAlignment="1"/>
    <xf numFmtId="15" fontId="2" fillId="0" borderId="1" xfId="0" applyNumberFormat="1" applyFont="1" applyFill="1" applyBorder="1" applyAlignment="1"/>
    <xf numFmtId="178" fontId="2" fillId="2" borderId="1" xfId="2" applyNumberFormat="1" applyFont="1" applyFill="1" applyBorder="1" applyAlignment="1" applyProtection="1">
      <alignment horizontal="center"/>
      <protection locked="0"/>
    </xf>
    <xf numFmtId="0" fontId="2" fillId="0" borderId="0" xfId="0" applyFont="1" applyFill="1" applyAlignment="1">
      <alignment horizontal="center"/>
    </xf>
    <xf numFmtId="9" fontId="3" fillId="0" borderId="2" xfId="0" applyNumberFormat="1" applyFont="1" applyFill="1" applyBorder="1" applyAlignment="1"/>
    <xf numFmtId="9" fontId="2" fillId="0" borderId="0" xfId="0" applyNumberFormat="1" applyFont="1" applyFill="1" applyAlignment="1"/>
    <xf numFmtId="9" fontId="2" fillId="0" borderId="2" xfId="0" applyNumberFormat="1" applyFont="1" applyFill="1" applyBorder="1" applyAlignment="1"/>
    <xf numFmtId="0" fontId="2" fillId="0" borderId="2" xfId="0" applyFont="1" applyFill="1" applyBorder="1" applyAlignment="1"/>
    <xf numFmtId="0" fontId="4" fillId="0" borderId="0" xfId="0" applyFont="1" applyFill="1" applyAlignment="1">
      <alignment horizontal="left" vertical="top" wrapText="1"/>
    </xf>
    <xf numFmtId="0" fontId="5" fillId="3" borderId="2" xfId="0" applyFont="1" applyFill="1" applyBorder="1" applyAlignment="1">
      <alignment horizontal="center"/>
    </xf>
    <xf numFmtId="178" fontId="2" fillId="2" borderId="0" xfId="2" applyNumberFormat="1" applyFont="1" applyFill="1" applyAlignment="1" applyProtection="1">
      <alignment horizontal="center"/>
      <protection locked="0"/>
    </xf>
    <xf numFmtId="0" fontId="5" fillId="4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179" fontId="2" fillId="0" borderId="2" xfId="0" applyNumberFormat="1" applyFont="1" applyFill="1" applyBorder="1" applyAlignment="1">
      <alignment horizontal="center"/>
    </xf>
    <xf numFmtId="2" fontId="2" fillId="2" borderId="2" xfId="0" applyNumberFormat="1" applyFont="1" applyFill="1" applyBorder="1" applyAlignment="1" applyProtection="1">
      <alignment horizontal="center" vertical="center"/>
      <protection locked="0"/>
    </xf>
    <xf numFmtId="178" fontId="2" fillId="2" borderId="3" xfId="0" applyNumberFormat="1" applyFont="1" applyFill="1" applyBorder="1" applyAlignment="1" applyProtection="1">
      <protection locked="0"/>
    </xf>
    <xf numFmtId="8" fontId="2" fillId="0" borderId="2" xfId="0" applyNumberFormat="1" applyFont="1" applyFill="1" applyBorder="1" applyAlignment="1" applyProtection="1">
      <alignment horizontal="center"/>
    </xf>
    <xf numFmtId="180" fontId="2" fillId="0" borderId="2" xfId="0" applyNumberFormat="1" applyFont="1" applyFill="1" applyBorder="1" applyAlignment="1">
      <alignment horizontal="center"/>
    </xf>
    <xf numFmtId="0" fontId="2" fillId="0" borderId="0" xfId="0" applyFont="1" applyFill="1" applyAlignment="1" quotePrefix="1"/>
    <xf numFmtId="0" fontId="0" fillId="0" borderId="0" xfId="0" quotePrefix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21">
    <dxf>
      <font>
        <color theme="0"/>
      </font>
      <fill>
        <patternFill patternType="solid"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u val="none"/>
        <color theme="0"/>
      </font>
      <fill>
        <patternFill patternType="solid"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5772</xdr:colOff>
      <xdr:row>7</xdr:row>
      <xdr:rowOff>86591</xdr:rowOff>
    </xdr:from>
    <xdr:to>
      <xdr:col>13</xdr:col>
      <xdr:colOff>0</xdr:colOff>
      <xdr:row>10</xdr:row>
      <xdr:rowOff>121227</xdr:rowOff>
    </xdr:to>
    <xdr:sp>
      <xdr:nvSpPr>
        <xdr:cNvPr id="2" name="Rectangle 1"/>
        <xdr:cNvSpPr/>
      </xdr:nvSpPr>
      <xdr:spPr>
        <a:xfrm>
          <a:off x="6496685" y="1486535"/>
          <a:ext cx="2489835" cy="63436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>
              <a:solidFill>
                <a:schemeClr val="tx1"/>
              </a:solidFill>
            </a:rPr>
            <a:t>Make sure to use cell references and formatting as instructed. Example: =($F$2*J2)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NGEL\Desktop\pc101_w03_applicationactivity_introduction-to-spreadsheets%20WRITE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udentTemplate"/>
      <sheetName val="Variables- Admin Use Only"/>
    </sheetNames>
    <sheetDataSet>
      <sheetData sheetId="0" refreshError="1"/>
      <sheetData sheetId="1" refreshError="1">
        <row r="30">
          <cell r="F30" t="str">
            <v>Empty Answer Cell</v>
          </cell>
        </row>
        <row r="31">
          <cell r="F31" t="str">
            <v>Empty Answer Cell</v>
          </cell>
        </row>
        <row r="32">
          <cell r="F32" t="str">
            <v>Empty Answer Cell</v>
          </cell>
        </row>
        <row r="33">
          <cell r="F33" t="str">
            <v>Empty Answer Cell</v>
          </cell>
        </row>
        <row r="34">
          <cell r="F34" t="str">
            <v>Empty Answer Cell</v>
          </cell>
        </row>
        <row r="35">
          <cell r="F35" t="str">
            <v>Empty Answer Cell</v>
          </cell>
        </row>
        <row r="36">
          <cell r="F36" t="str">
            <v>Empty Answer Cell</v>
          </cell>
        </row>
        <row r="37">
          <cell r="F37" t="str">
            <v>Empty Answer Cell</v>
          </cell>
        </row>
        <row r="38">
          <cell r="F38" t="str">
            <v>Empty Answer Cell</v>
          </cell>
        </row>
        <row r="39">
          <cell r="F39" t="str">
            <v>Empty Answer Cell</v>
          </cell>
        </row>
        <row r="40">
          <cell r="F40" t="str">
            <v>Empty Answer Cell</v>
          </cell>
        </row>
        <row r="41">
          <cell r="F41" t="str">
            <v>Empty Answer Cell</v>
          </cell>
        </row>
        <row r="42">
          <cell r="F42" t="str">
            <v>Empty Answer Cell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tabSelected="1" zoomScale="120" zoomScaleNormal="120" workbookViewId="0">
      <selection activeCell="F19" sqref="F19"/>
    </sheetView>
  </sheetViews>
  <sheetFormatPr defaultColWidth="9.14285714285714" defaultRowHeight="15"/>
  <cols>
    <col min="1" max="1" width="16.1428571428571" customWidth="1"/>
    <col min="3" max="3" width="10.7714285714286" customWidth="1"/>
    <col min="4" max="4" width="12.3714285714286" style="1" customWidth="1"/>
    <col min="7" max="7" width="9.85714285714286"/>
    <col min="9" max="9" width="11.6380952380952" style="1" customWidth="1"/>
    <col min="10" max="10" width="10" style="1" customWidth="1"/>
  </cols>
  <sheetData>
    <row r="1" ht="15.75" spans="1:15">
      <c r="A1" s="2" t="s">
        <v>0</v>
      </c>
      <c r="B1" s="3"/>
      <c r="C1" s="4" t="s">
        <v>1</v>
      </c>
      <c r="D1" s="5" t="s">
        <v>2</v>
      </c>
      <c r="E1" s="6"/>
      <c r="F1" s="7" t="s">
        <v>3</v>
      </c>
      <c r="G1" s="8"/>
      <c r="H1" s="9" t="s">
        <v>4</v>
      </c>
      <c r="I1" s="6" t="s">
        <v>5</v>
      </c>
      <c r="J1" s="6" t="s">
        <v>6</v>
      </c>
      <c r="K1" s="6"/>
      <c r="L1" s="9"/>
      <c r="M1" s="9" t="s">
        <v>7</v>
      </c>
      <c r="N1" s="12"/>
      <c r="O1" s="3"/>
    </row>
    <row r="2" ht="15.75" spans="1:15">
      <c r="A2" s="3"/>
      <c r="B2" s="3"/>
      <c r="C2" s="10">
        <v>35828</v>
      </c>
      <c r="D2" s="11">
        <f>SUM(79.06)</f>
        <v>79.06</v>
      </c>
      <c r="E2" s="12"/>
      <c r="F2" s="13">
        <v>0.35</v>
      </c>
      <c r="G2" s="14"/>
      <c r="H2" s="15" t="s">
        <v>8</v>
      </c>
      <c r="I2" s="22">
        <v>1.21</v>
      </c>
      <c r="J2" s="23">
        <f>PRODUCT(F2,I2)</f>
        <v>0.4235</v>
      </c>
      <c r="K2" s="12" t="str">
        <f>IF('[1]Variables- Admin Use Only'!F31="Empty Answer Cell","",'[1]Variables- Admin Use Only'!F31)</f>
        <v/>
      </c>
      <c r="L2" s="3"/>
      <c r="M2" s="24">
        <f t="shared" ref="M2:M7" si="0">SUM(I2,-J2)</f>
        <v>0.7865</v>
      </c>
      <c r="N2" s="12" t="str">
        <f>IF('[1]Variables- Admin Use Only'!F37="Empty Answer Cell","",'[1]Variables- Admin Use Only'!F37)</f>
        <v/>
      </c>
      <c r="O2" s="3"/>
    </row>
    <row r="3" ht="15.75" spans="1:15">
      <c r="A3" s="3"/>
      <c r="B3" s="3"/>
      <c r="C3" s="10">
        <v>35829</v>
      </c>
      <c r="D3" s="11">
        <f>SUM(76.62)</f>
        <v>76.62</v>
      </c>
      <c r="E3" s="12"/>
      <c r="F3" s="3"/>
      <c r="G3" s="3"/>
      <c r="H3" s="16" t="s">
        <v>9</v>
      </c>
      <c r="I3" s="25">
        <v>1.06</v>
      </c>
      <c r="J3" s="23">
        <f>PRODUCT(F2,I3)</f>
        <v>0.371</v>
      </c>
      <c r="K3" s="12" t="str">
        <f>IF('[1]Variables- Admin Use Only'!F32="Empty Answer Cell","",'[1]Variables- Admin Use Only'!F32)</f>
        <v/>
      </c>
      <c r="L3" s="3"/>
      <c r="M3" s="24">
        <f t="shared" si="0"/>
        <v>0.689</v>
      </c>
      <c r="N3" s="12" t="str">
        <f>IF('[1]Variables- Admin Use Only'!F38="Empty Answer Cell","",'[1]Variables- Admin Use Only'!F38)</f>
        <v/>
      </c>
      <c r="O3" s="3"/>
    </row>
    <row r="4" ht="15.75" spans="1:15">
      <c r="A4" s="17" t="s">
        <v>10</v>
      </c>
      <c r="B4" s="3"/>
      <c r="C4" s="10">
        <v>35830</v>
      </c>
      <c r="D4" s="11">
        <f>SUM(82.54)</f>
        <v>82.54</v>
      </c>
      <c r="E4" s="12"/>
      <c r="F4" s="3"/>
      <c r="G4" s="3"/>
      <c r="H4" s="16" t="s">
        <v>11</v>
      </c>
      <c r="I4" s="26">
        <v>1.85</v>
      </c>
      <c r="J4" s="23">
        <f>PRODUCT(F2,I4)</f>
        <v>0.6475</v>
      </c>
      <c r="K4" s="12" t="str">
        <f>IF('[1]Variables- Admin Use Only'!F33="Empty Answer Cell","",'[1]Variables- Admin Use Only'!F33)</f>
        <v/>
      </c>
      <c r="L4" s="3"/>
      <c r="M4" s="24">
        <f t="shared" si="0"/>
        <v>1.2025</v>
      </c>
      <c r="N4" s="12" t="str">
        <f>IF('[1]Variables- Admin Use Only'!F39="Empty Answer Cell","",'[1]Variables- Admin Use Only'!F39)</f>
        <v/>
      </c>
      <c r="O4" s="3"/>
    </row>
    <row r="5" ht="15.75" spans="1:15">
      <c r="A5" s="17"/>
      <c r="B5" s="3"/>
      <c r="C5" s="10">
        <v>35831</v>
      </c>
      <c r="D5" s="11">
        <f>SUM(90.92)</f>
        <v>90.92</v>
      </c>
      <c r="E5" s="12"/>
      <c r="F5" s="3"/>
      <c r="G5" s="3"/>
      <c r="H5" s="16" t="s">
        <v>12</v>
      </c>
      <c r="I5" s="26">
        <v>1.61</v>
      </c>
      <c r="J5" s="23">
        <f>PRODUCT(F2,I5)</f>
        <v>0.5635</v>
      </c>
      <c r="K5" s="12" t="str">
        <f>IF('[1]Variables- Admin Use Only'!F34="Empty Answer Cell","",'[1]Variables- Admin Use Only'!F34)</f>
        <v/>
      </c>
      <c r="L5" s="3"/>
      <c r="M5" s="24">
        <f t="shared" si="0"/>
        <v>1.0465</v>
      </c>
      <c r="N5" s="12" t="str">
        <f>IF('[1]Variables- Admin Use Only'!F40="Empty Answer Cell","",'[1]Variables- Admin Use Only'!F40)</f>
        <v/>
      </c>
      <c r="O5" s="3"/>
    </row>
    <row r="6" ht="15.75" spans="1:15">
      <c r="A6" s="17"/>
      <c r="B6" s="3"/>
      <c r="C6" s="10">
        <v>35832</v>
      </c>
      <c r="D6" s="11">
        <f>SUM(89.14)</f>
        <v>89.14</v>
      </c>
      <c r="E6" s="12"/>
      <c r="F6" s="3"/>
      <c r="G6" s="3"/>
      <c r="H6" s="16" t="s">
        <v>13</v>
      </c>
      <c r="I6" s="26">
        <v>1.42</v>
      </c>
      <c r="J6" s="23">
        <f>PRODUCT(F2,I6)</f>
        <v>0.497</v>
      </c>
      <c r="K6" s="12" t="str">
        <f>IF('[1]Variables- Admin Use Only'!F35="Empty Answer Cell","",'[1]Variables- Admin Use Only'!F35)</f>
        <v/>
      </c>
      <c r="L6" s="3"/>
      <c r="M6" s="24">
        <f t="shared" si="0"/>
        <v>0.923</v>
      </c>
      <c r="N6" s="12" t="str">
        <f>IF('[1]Variables- Admin Use Only'!F41="Empty Answer Cell","",'[1]Variables- Admin Use Only'!F41)</f>
        <v/>
      </c>
      <c r="O6" s="3"/>
    </row>
    <row r="7" ht="15.75" spans="1:15">
      <c r="A7" s="17"/>
      <c r="B7" s="3"/>
      <c r="C7" s="10">
        <v>35833</v>
      </c>
      <c r="D7" s="11">
        <f>SUM(75.81)</f>
        <v>75.81</v>
      </c>
      <c r="E7" s="12"/>
      <c r="F7" s="3"/>
      <c r="G7" s="3"/>
      <c r="H7" s="16" t="s">
        <v>14</v>
      </c>
      <c r="I7" s="26">
        <v>1.76</v>
      </c>
      <c r="J7" s="23">
        <f>PRODUCT(F2,I7)</f>
        <v>0.616</v>
      </c>
      <c r="K7" s="12" t="str">
        <f>IF('[1]Variables- Admin Use Only'!F36="Empty Answer Cell","",'[1]Variables- Admin Use Only'!F36)</f>
        <v/>
      </c>
      <c r="L7" s="3"/>
      <c r="M7" s="24">
        <f t="shared" si="0"/>
        <v>1.144</v>
      </c>
      <c r="N7" s="12" t="str">
        <f>IF('[1]Variables- Admin Use Only'!F42="Empty Answer Cell","",'[1]Variables- Admin Use Only'!F42)</f>
        <v/>
      </c>
      <c r="O7" s="3"/>
    </row>
    <row r="8" ht="15.75" spans="1:15">
      <c r="A8" s="17"/>
      <c r="B8" s="3"/>
      <c r="C8" s="10">
        <v>35835</v>
      </c>
      <c r="D8" s="11">
        <f>SUM(84.87)</f>
        <v>84.87</v>
      </c>
      <c r="E8" s="12"/>
      <c r="F8" s="3"/>
      <c r="G8" s="3"/>
      <c r="H8" s="3"/>
      <c r="I8" s="12"/>
      <c r="J8" s="12"/>
      <c r="K8" s="12"/>
      <c r="L8" s="3"/>
      <c r="M8" s="3"/>
      <c r="N8" s="12"/>
      <c r="O8" s="3"/>
    </row>
    <row r="9" ht="15.75" spans="1:15">
      <c r="A9" s="17"/>
      <c r="B9" s="3"/>
      <c r="C9" s="10">
        <v>35836</v>
      </c>
      <c r="D9" s="11">
        <f>SUM(79.32)</f>
        <v>79.32</v>
      </c>
      <c r="E9" s="12"/>
      <c r="F9" s="3"/>
      <c r="G9" s="3"/>
      <c r="H9" s="3"/>
      <c r="I9" s="12"/>
      <c r="J9" s="12"/>
      <c r="K9" s="12"/>
      <c r="L9" s="3"/>
      <c r="M9" s="3"/>
      <c r="N9" s="12"/>
      <c r="O9" s="3"/>
    </row>
    <row r="10" ht="15.75" spans="1:15">
      <c r="A10" s="17"/>
      <c r="B10" s="3"/>
      <c r="C10" s="10">
        <v>35837</v>
      </c>
      <c r="D10" s="11">
        <f>SUM(77.04)</f>
        <v>77.04</v>
      </c>
      <c r="E10" s="12"/>
      <c r="F10" s="3"/>
      <c r="G10" s="3"/>
      <c r="H10" s="3"/>
      <c r="I10" s="12"/>
      <c r="J10" s="12"/>
      <c r="K10" s="12"/>
      <c r="L10" s="3"/>
      <c r="M10" s="3"/>
      <c r="N10" s="12"/>
      <c r="O10" s="3"/>
    </row>
    <row r="11" ht="15.75" spans="1:15">
      <c r="A11" s="17"/>
      <c r="B11" s="3"/>
      <c r="C11" s="10">
        <v>35838</v>
      </c>
      <c r="D11" s="11">
        <f>SUM(85.5)</f>
        <v>85.5</v>
      </c>
      <c r="E11" s="12"/>
      <c r="F11" s="3"/>
      <c r="G11" s="18" t="s">
        <v>15</v>
      </c>
      <c r="H11" s="27" t="s">
        <v>16</v>
      </c>
      <c r="I11" s="12"/>
      <c r="J11" s="12"/>
      <c r="K11" s="12"/>
      <c r="L11" s="3"/>
      <c r="M11" s="3"/>
      <c r="N11" s="12"/>
      <c r="O11" s="3"/>
    </row>
    <row r="12" ht="15.75" spans="1:15">
      <c r="A12" s="17"/>
      <c r="B12" s="3"/>
      <c r="C12" s="3" t="s">
        <v>17</v>
      </c>
      <c r="D12" s="19">
        <f>SUM(D2:D11)</f>
        <v>820.82</v>
      </c>
      <c r="E12" s="12" t="str">
        <f>IF('[1]Variables- Admin Use Only'!F30="Empty Answer Cell","",'[1]Variables- Admin Use Only'!F30)</f>
        <v/>
      </c>
      <c r="F12" s="3" t="s">
        <v>18</v>
      </c>
      <c r="G12" s="20" t="s">
        <v>19</v>
      </c>
      <c r="H12" s="3" t="s">
        <v>20</v>
      </c>
      <c r="I12" s="12"/>
      <c r="J12" s="12"/>
      <c r="K12" s="12"/>
      <c r="L12" s="3"/>
      <c r="M12" s="3"/>
      <c r="N12" s="12"/>
      <c r="O12" s="3"/>
    </row>
    <row r="13" ht="15.75" spans="1:15">
      <c r="A13" s="3"/>
      <c r="B13" s="3"/>
      <c r="C13" s="3"/>
      <c r="D13" s="12"/>
      <c r="E13" s="12"/>
      <c r="F13" s="3"/>
      <c r="G13" s="20" t="s">
        <v>21</v>
      </c>
      <c r="H13" s="3" t="s">
        <v>22</v>
      </c>
      <c r="I13" s="12"/>
      <c r="J13" s="12"/>
      <c r="K13" s="12"/>
      <c r="L13" s="3"/>
      <c r="M13" s="3"/>
      <c r="N13" s="12"/>
      <c r="O13" s="3"/>
    </row>
    <row r="14" ht="15.75" spans="1:15">
      <c r="A14" s="3"/>
      <c r="B14" s="3"/>
      <c r="C14" s="3"/>
      <c r="D14" s="12"/>
      <c r="E14" s="12"/>
      <c r="F14" s="3"/>
      <c r="G14" s="20" t="s">
        <v>23</v>
      </c>
      <c r="H14" s="3" t="s">
        <v>24</v>
      </c>
      <c r="I14" s="12"/>
      <c r="J14" s="12"/>
      <c r="K14" s="12"/>
      <c r="L14" s="3"/>
      <c r="M14" s="3"/>
      <c r="N14" s="12"/>
      <c r="O14" s="3"/>
    </row>
    <row r="15" ht="15.75" spans="1:15">
      <c r="A15" s="3"/>
      <c r="B15" s="3"/>
      <c r="C15" s="3"/>
      <c r="D15" s="12"/>
      <c r="E15" s="12"/>
      <c r="F15" s="3"/>
      <c r="G15" s="21" t="s">
        <v>25</v>
      </c>
      <c r="H15" s="27" t="s">
        <v>26</v>
      </c>
      <c r="I15" s="12"/>
      <c r="J15" s="12"/>
      <c r="K15" s="12"/>
      <c r="L15" s="3"/>
      <c r="M15" s="3"/>
      <c r="N15" s="12"/>
      <c r="O15" s="3"/>
    </row>
    <row r="19" spans="6:6">
      <c r="F19" s="28" t="s">
        <v>27</v>
      </c>
    </row>
  </sheetData>
  <mergeCells count="1">
    <mergeCell ref="A4:A12"/>
  </mergeCells>
  <conditionalFormatting sqref="E12">
    <cfRule type="cellIs" dxfId="0" priority="12" operator="equal">
      <formula>"C"</formula>
    </cfRule>
    <cfRule type="cellIs" dxfId="1" priority="11" operator="equal">
      <formula>"N"</formula>
    </cfRule>
    <cfRule type="containsText" dxfId="2" priority="6" operator="between" text="F">
      <formula>NOT(ISERROR(SEARCH("F",E12)))</formula>
    </cfRule>
    <cfRule type="containsText" dxfId="2" priority="4" operator="between" text="A">
      <formula>NOT(ISERROR(SEARCH("A",E12)))</formula>
    </cfRule>
  </conditionalFormatting>
  <conditionalFormatting sqref="K2:K7">
    <cfRule type="containsText" dxfId="2" priority="3" operator="between" text="CR">
      <formula>NOT(ISERROR(SEARCH("CR",K2)))</formula>
    </cfRule>
    <cfRule type="containsText" dxfId="3" priority="5" operator="between" text="A">
      <formula>NOT(ISERROR(SEARCH("A",K2)))</formula>
    </cfRule>
    <cfRule type="cellIs" dxfId="1" priority="9" operator="equal">
      <formula>"N"</formula>
    </cfRule>
    <cfRule type="cellIs" dxfId="0" priority="10" operator="equal">
      <formula>"C"</formula>
    </cfRule>
  </conditionalFormatting>
  <conditionalFormatting sqref="N2:N7">
    <cfRule type="containsText" dxfId="2" priority="1" operator="between" text="CR">
      <formula>NOT(ISERROR(SEARCH("CR",N2)))</formula>
    </cfRule>
    <cfRule type="containsText" dxfId="2" priority="2" operator="between" text="A">
      <formula>NOT(ISERROR(SEARCH("A",N2)))</formula>
    </cfRule>
    <cfRule type="cellIs" dxfId="1" priority="7" operator="equal">
      <formula>"N"</formula>
    </cfRule>
    <cfRule type="cellIs" dxfId="0" priority="8" operator="equal">
      <formula>"C"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LEYDA</dc:creator>
  <cp:lastModifiedBy>leriennys pereira hidrogo (Nen</cp:lastModifiedBy>
  <dcterms:created xsi:type="dcterms:W3CDTF">2025-12-02T15:00:00Z</dcterms:created>
  <dcterms:modified xsi:type="dcterms:W3CDTF">2026-02-18T22:56:18Z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402F4D879C5F4303916BD58BD0CA7D06_13</vt:lpwstr>
  </property>
  <property fmtid="{D5CDD505-2E9C-101B-9397-08002B2CF9AE}" pid="3" name="KSOProductBuildVer">
    <vt:lpwstr>3082-12.2.0.23196</vt:lpwstr>
  </property>
</Properties>
</file>